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24513_student_fontys_nl/Documents/IvyGlobal/Project/"/>
    </mc:Choice>
  </mc:AlternateContent>
  <xr:revisionPtr revIDLastSave="31" documentId="8_{3AAAAE4F-EC43-43BF-A2B3-2F0FAF678D29}" xr6:coauthVersionLast="47" xr6:coauthVersionMax="47" xr10:uidLastSave="{E7CFBDFA-1CB0-4448-8A83-11841EB67C66}"/>
  <bookViews>
    <workbookView xWindow="12710" yWindow="0" windowWidth="12980" windowHeight="13770" xr2:uid="{02A1EB8E-C2FC-4DFA-9582-A0606FE8C67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G16" i="1"/>
  <c r="H16" i="1"/>
  <c r="I16" i="1"/>
  <c r="J16" i="1"/>
  <c r="K16" i="1"/>
  <c r="L16" i="1"/>
  <c r="M16" i="1"/>
  <c r="F17" i="1"/>
  <c r="G17" i="1"/>
  <c r="H17" i="1"/>
  <c r="I17" i="1"/>
  <c r="J17" i="1"/>
  <c r="K17" i="1"/>
  <c r="L17" i="1"/>
  <c r="M17" i="1"/>
  <c r="F18" i="1"/>
  <c r="G18" i="1"/>
  <c r="H18" i="1"/>
  <c r="I18" i="1"/>
  <c r="J18" i="1"/>
  <c r="K18" i="1"/>
  <c r="L18" i="1"/>
  <c r="M18" i="1"/>
  <c r="F19" i="1"/>
  <c r="G19" i="1"/>
  <c r="H19" i="1"/>
  <c r="I19" i="1"/>
  <c r="J19" i="1"/>
  <c r="K19" i="1"/>
  <c r="L19" i="1"/>
  <c r="M19" i="1"/>
  <c r="F20" i="1"/>
  <c r="G20" i="1"/>
  <c r="H20" i="1"/>
  <c r="I20" i="1"/>
  <c r="J20" i="1"/>
  <c r="K20" i="1"/>
  <c r="L20" i="1"/>
  <c r="M20" i="1"/>
  <c r="F21" i="1"/>
  <c r="G21" i="1"/>
  <c r="H21" i="1"/>
  <c r="I21" i="1"/>
  <c r="J21" i="1"/>
  <c r="K21" i="1"/>
  <c r="L21" i="1"/>
  <c r="M21" i="1"/>
  <c r="F22" i="1"/>
  <c r="G22" i="1"/>
  <c r="H22" i="1"/>
  <c r="I22" i="1"/>
  <c r="J22" i="1"/>
  <c r="K22" i="1"/>
  <c r="L22" i="1"/>
  <c r="M22" i="1"/>
  <c r="F23" i="1"/>
  <c r="G23" i="1"/>
  <c r="H23" i="1"/>
  <c r="I23" i="1"/>
  <c r="J23" i="1"/>
  <c r="K23" i="1"/>
  <c r="L23" i="1"/>
  <c r="M23" i="1"/>
  <c r="F24" i="1"/>
  <c r="G24" i="1"/>
  <c r="H24" i="1"/>
  <c r="I24" i="1"/>
  <c r="J24" i="1"/>
  <c r="K24" i="1"/>
  <c r="L24" i="1"/>
  <c r="M24" i="1"/>
  <c r="E17" i="1"/>
  <c r="E18" i="1"/>
  <c r="E19" i="1"/>
  <c r="E20" i="1"/>
  <c r="E21" i="1"/>
  <c r="E22" i="1"/>
  <c r="E23" i="1"/>
  <c r="E24" i="1"/>
  <c r="E16" i="1"/>
  <c r="D33" i="1"/>
  <c r="D34" i="1" s="1"/>
  <c r="D35" i="1" s="1"/>
  <c r="D36" i="1" s="1"/>
  <c r="D37" i="1" s="1"/>
  <c r="P18" i="1"/>
  <c r="P17" i="1"/>
  <c r="D20" i="1"/>
  <c r="D21" i="1" s="1"/>
  <c r="D22" i="1" s="1"/>
  <c r="D23" i="1" s="1"/>
  <c r="D24" i="1" s="1"/>
  <c r="I6" i="1"/>
  <c r="E4" i="1"/>
  <c r="F4" i="1"/>
  <c r="H4" i="1"/>
  <c r="I4" i="1"/>
  <c r="J4" i="1"/>
  <c r="K4" i="1"/>
  <c r="L4" i="1"/>
  <c r="M4" i="1"/>
  <c r="E5" i="1"/>
  <c r="F5" i="1"/>
  <c r="H5" i="1"/>
  <c r="I5" i="1"/>
  <c r="J5" i="1"/>
  <c r="K5" i="1"/>
  <c r="L5" i="1"/>
  <c r="M5" i="1"/>
  <c r="E6" i="1"/>
  <c r="F6" i="1"/>
  <c r="H6" i="1"/>
  <c r="J6" i="1"/>
  <c r="K6" i="1"/>
  <c r="L6" i="1"/>
  <c r="M6" i="1"/>
  <c r="E7" i="1"/>
  <c r="F7" i="1"/>
  <c r="H7" i="1"/>
  <c r="I7" i="1"/>
  <c r="J7" i="1"/>
  <c r="K7" i="1"/>
  <c r="L7" i="1"/>
  <c r="M7" i="1"/>
  <c r="E8" i="1"/>
  <c r="F8" i="1"/>
  <c r="H8" i="1"/>
  <c r="I8" i="1"/>
  <c r="J8" i="1"/>
  <c r="K8" i="1"/>
  <c r="L8" i="1"/>
  <c r="M8" i="1"/>
  <c r="E9" i="1"/>
  <c r="F9" i="1"/>
  <c r="H9" i="1"/>
  <c r="I9" i="1"/>
  <c r="J9" i="1"/>
  <c r="K9" i="1"/>
  <c r="L9" i="1"/>
  <c r="M9" i="1"/>
  <c r="E10" i="1"/>
  <c r="F10" i="1"/>
  <c r="H10" i="1"/>
  <c r="I10" i="1"/>
  <c r="J10" i="1"/>
  <c r="K10" i="1"/>
  <c r="L10" i="1"/>
  <c r="M10" i="1"/>
  <c r="E11" i="1"/>
  <c r="F11" i="1"/>
  <c r="H11" i="1"/>
  <c r="I11" i="1"/>
  <c r="J11" i="1"/>
  <c r="K11" i="1"/>
  <c r="L11" i="1"/>
  <c r="M11" i="1"/>
  <c r="F3" i="1"/>
  <c r="H3" i="1"/>
  <c r="I3" i="1"/>
  <c r="J3" i="1"/>
  <c r="K3" i="1"/>
  <c r="L3" i="1"/>
  <c r="M3" i="1"/>
  <c r="E3" i="1"/>
  <c r="R15" i="1" a="1"/>
  <c r="R16" i="1" a="1"/>
  <c r="R15" i="1" l="1"/>
  <c r="D15" i="1" s="1"/>
  <c r="R16" i="1"/>
  <c r="G15" i="1" l="1"/>
  <c r="G2" i="1"/>
  <c r="G10" i="1" l="1"/>
  <c r="G6" i="1"/>
  <c r="G3" i="1"/>
  <c r="G8" i="1"/>
  <c r="G9" i="1"/>
  <c r="G5" i="1"/>
  <c r="G11" i="1"/>
  <c r="G7" i="1"/>
  <c r="G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<sst xmlns="http://schemas.openxmlformats.org/spreadsheetml/2006/main" count="24" uniqueCount="18">
  <si>
    <t>Pressures (bar)</t>
  </si>
  <si>
    <t>Napiers method (kg/hr)</t>
  </si>
  <si>
    <t>Correction factor</t>
  </si>
  <si>
    <t>Leak size (mm)</t>
  </si>
  <si>
    <t>Pressure (bar)</t>
  </si>
  <si>
    <t>Average length of leak (days)</t>
  </si>
  <si>
    <t>Cost of steam</t>
  </si>
  <si>
    <t>Volume flow</t>
  </si>
  <si>
    <t>Mass flow</t>
  </si>
  <si>
    <t>Pressure (Pa)</t>
  </si>
  <si>
    <t>Temperature (T)</t>
  </si>
  <si>
    <t>m3/h</t>
  </si>
  <si>
    <t>kg/h</t>
  </si>
  <si>
    <t>Pa</t>
  </si>
  <si>
    <t>k</t>
  </si>
  <si>
    <t>€/kg</t>
  </si>
  <si>
    <t>Cost of steam (€)</t>
  </si>
  <si>
    <t>Cost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</si>
</sst>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[$€-2]\ #,##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1" fontId="0" fillId="0" borderId="0" xfId="0" applyNumberFormat="1"/>
    <xf numFmtId="1" fontId="0" fillId="0" borderId="1" xfId="0" applyNumberFormat="1" applyBorder="1"/>
    <xf numFmtId="1" fontId="0" fillId="0" borderId="2" xfId="0" applyNumberFormat="1" applyBorder="1"/>
    <xf numFmtId="1" fontId="0" fillId="0" borderId="5" xfId="0" applyNumberFormat="1" applyBorder="1"/>
    <xf numFmtId="0" fontId="0" fillId="0" borderId="4" xfId="0" applyBorder="1"/>
    <xf numFmtId="0" fontId="0" fillId="0" borderId="6" xfId="0" applyBorder="1"/>
    <xf numFmtId="9" fontId="0" fillId="0" borderId="7" xfId="0" applyNumberFormat="1" applyBorder="1"/>
    <xf numFmtId="0" fontId="0" fillId="0" borderId="7" xfId="0" applyBorder="1"/>
    <xf numFmtId="0" fontId="0" fillId="0" borderId="0" xfId="0" applyAlignment="1">
      <alignment horizontal="right"/>
    </xf>
    <xf numFmtId="0" fontId="0" fillId="0" borderId="11" xfId="0" applyBorder="1"/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165" fontId="0" fillId="0" borderId="2" xfId="0" applyNumberFormat="1" applyBorder="1"/>
    <xf numFmtId="165" fontId="0" fillId="0" borderId="5" xfId="0" applyNumberFormat="1" applyBorder="1"/>
    <xf numFmtId="0" fontId="0" fillId="0" borderId="3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165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a\AppData\Roaming\Microsoft\AddIns\CoolProp.xlam" TargetMode="External"/><Relationship Id="rId1" Type="http://schemas.openxmlformats.org/officeDocument/2006/relationships/externalLinkPath" Target="file:///C:\Users\Alexa\AppData\Roaming\Microsoft\AddIns\Cool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definedNames>
      <definedName name="PropsSI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987E2-7272-4EA5-9E27-5A8C14486C66}">
  <dimension ref="C1:S37"/>
  <sheetViews>
    <sheetView tabSelected="1" zoomScale="27" zoomScaleNormal="100" workbookViewId="0">
      <selection activeCell="J29" sqref="I29:J33"/>
    </sheetView>
  </sheetViews>
  <sheetFormatPr defaultRowHeight="16" x14ac:dyDescent="0.4"/>
  <cols>
    <col min="2" max="2" width="2.33203125" customWidth="1"/>
    <col min="3" max="3" width="16.08203125" customWidth="1"/>
    <col min="5" max="6" width="14" bestFit="1" customWidth="1"/>
    <col min="7" max="8" width="15" bestFit="1" customWidth="1"/>
    <col min="9" max="9" width="14.58203125" bestFit="1" customWidth="1"/>
    <col min="10" max="11" width="12.75" bestFit="1" customWidth="1"/>
    <col min="12" max="13" width="13.83203125" bestFit="1" customWidth="1"/>
  </cols>
  <sheetData>
    <row r="1" spans="3:19" x14ac:dyDescent="0.4">
      <c r="C1" s="25" t="s">
        <v>1</v>
      </c>
      <c r="D1" s="30"/>
      <c r="E1" s="25" t="s">
        <v>3</v>
      </c>
      <c r="F1" s="26"/>
      <c r="G1" s="26"/>
      <c r="H1" s="26"/>
      <c r="I1" s="26"/>
      <c r="J1" s="26"/>
      <c r="K1" s="26"/>
      <c r="L1" s="26"/>
      <c r="M1" s="30"/>
    </row>
    <row r="2" spans="3:19" x14ac:dyDescent="0.4">
      <c r="C2" s="9" t="s">
        <v>2</v>
      </c>
      <c r="D2" s="10">
        <v>0.5</v>
      </c>
      <c r="E2" s="2">
        <v>1</v>
      </c>
      <c r="F2" s="2">
        <v>3</v>
      </c>
      <c r="G2" s="2">
        <f>E2+F2</f>
        <v>4</v>
      </c>
      <c r="H2" s="2">
        <v>8</v>
      </c>
      <c r="I2" s="2">
        <v>13</v>
      </c>
      <c r="J2" s="2">
        <v>21</v>
      </c>
      <c r="K2" s="2">
        <v>34</v>
      </c>
      <c r="L2" s="2">
        <v>55</v>
      </c>
      <c r="M2" s="3">
        <v>89</v>
      </c>
    </row>
    <row r="3" spans="3:19" x14ac:dyDescent="0.4">
      <c r="C3" s="27" t="s">
        <v>0</v>
      </c>
      <c r="D3" s="1">
        <v>1</v>
      </c>
      <c r="E3" s="4">
        <f>0.24725*$D$2*$D3*E$2^2</f>
        <v>0.123625</v>
      </c>
      <c r="F3" s="4">
        <f t="shared" ref="F3:M11" si="0">0.24725*$D$2*$D3*F$2^2</f>
        <v>1.112625</v>
      </c>
      <c r="G3" s="4">
        <f t="shared" si="0"/>
        <v>1.978</v>
      </c>
      <c r="H3" s="4">
        <f t="shared" si="0"/>
        <v>7.9119999999999999</v>
      </c>
      <c r="I3" s="4">
        <f t="shared" si="0"/>
        <v>20.892624999999999</v>
      </c>
      <c r="J3" s="4">
        <f t="shared" si="0"/>
        <v>54.518625</v>
      </c>
      <c r="K3" s="4">
        <f t="shared" si="0"/>
        <v>142.91049999999998</v>
      </c>
      <c r="L3" s="4">
        <f t="shared" si="0"/>
        <v>373.96562499999999</v>
      </c>
      <c r="M3" s="5">
        <f t="shared" si="0"/>
        <v>979.23362499999996</v>
      </c>
    </row>
    <row r="4" spans="3:19" x14ac:dyDescent="0.4">
      <c r="C4" s="28"/>
      <c r="D4" s="1">
        <v>2</v>
      </c>
      <c r="E4" s="4">
        <f t="shared" ref="E4:E11" si="1">0.24725*$D$2*$D4*E$2^2</f>
        <v>0.24725</v>
      </c>
      <c r="F4" s="4">
        <f t="shared" si="0"/>
        <v>2.22525</v>
      </c>
      <c r="G4" s="4">
        <f t="shared" si="0"/>
        <v>3.956</v>
      </c>
      <c r="H4" s="4">
        <f t="shared" si="0"/>
        <v>15.824</v>
      </c>
      <c r="I4" s="4">
        <f t="shared" si="0"/>
        <v>41.785249999999998</v>
      </c>
      <c r="J4" s="4">
        <f t="shared" si="0"/>
        <v>109.03725</v>
      </c>
      <c r="K4" s="4">
        <f t="shared" si="0"/>
        <v>285.82099999999997</v>
      </c>
      <c r="L4" s="4">
        <f t="shared" si="0"/>
        <v>747.93124999999998</v>
      </c>
      <c r="M4" s="5">
        <f t="shared" si="0"/>
        <v>1958.4672499999999</v>
      </c>
    </row>
    <row r="5" spans="3:19" x14ac:dyDescent="0.4">
      <c r="C5" s="28"/>
      <c r="D5" s="1">
        <v>4</v>
      </c>
      <c r="E5" s="4">
        <f t="shared" si="1"/>
        <v>0.4945</v>
      </c>
      <c r="F5" s="4">
        <f t="shared" si="0"/>
        <v>4.4504999999999999</v>
      </c>
      <c r="G5" s="4">
        <f t="shared" si="0"/>
        <v>7.9119999999999999</v>
      </c>
      <c r="H5" s="4">
        <f t="shared" si="0"/>
        <v>31.648</v>
      </c>
      <c r="I5" s="4">
        <f t="shared" si="0"/>
        <v>83.570499999999996</v>
      </c>
      <c r="J5" s="4">
        <f t="shared" si="0"/>
        <v>218.0745</v>
      </c>
      <c r="K5" s="4">
        <f t="shared" si="0"/>
        <v>571.64199999999994</v>
      </c>
      <c r="L5" s="4">
        <f t="shared" si="0"/>
        <v>1495.8625</v>
      </c>
      <c r="M5" s="5">
        <f t="shared" si="0"/>
        <v>3916.9344999999998</v>
      </c>
    </row>
    <row r="6" spans="3:19" x14ac:dyDescent="0.4">
      <c r="C6" s="28"/>
      <c r="D6" s="1">
        <v>8</v>
      </c>
      <c r="E6" s="4">
        <f t="shared" si="1"/>
        <v>0.98899999999999999</v>
      </c>
      <c r="F6" s="4">
        <f t="shared" si="0"/>
        <v>8.9009999999999998</v>
      </c>
      <c r="G6" s="4">
        <f t="shared" si="0"/>
        <v>15.824</v>
      </c>
      <c r="H6" s="4">
        <f t="shared" si="0"/>
        <v>63.295999999999999</v>
      </c>
      <c r="I6" s="4">
        <f>0.24725*$D$2*$D6*I$2^2</f>
        <v>167.14099999999999</v>
      </c>
      <c r="J6" s="4">
        <f t="shared" si="0"/>
        <v>436.149</v>
      </c>
      <c r="K6" s="4">
        <f t="shared" si="0"/>
        <v>1143.2839999999999</v>
      </c>
      <c r="L6" s="4">
        <f t="shared" si="0"/>
        <v>2991.7249999999999</v>
      </c>
      <c r="M6" s="5">
        <f t="shared" si="0"/>
        <v>7833.8689999999997</v>
      </c>
    </row>
    <row r="7" spans="3:19" x14ac:dyDescent="0.4">
      <c r="C7" s="28"/>
      <c r="D7" s="1">
        <v>16</v>
      </c>
      <c r="E7" s="4">
        <f t="shared" si="1"/>
        <v>1.978</v>
      </c>
      <c r="F7" s="4">
        <f t="shared" si="0"/>
        <v>17.802</v>
      </c>
      <c r="G7" s="4">
        <f t="shared" si="0"/>
        <v>31.648</v>
      </c>
      <c r="H7" s="4">
        <f t="shared" si="0"/>
        <v>126.592</v>
      </c>
      <c r="I7" s="4">
        <f t="shared" si="0"/>
        <v>334.28199999999998</v>
      </c>
      <c r="J7" s="4">
        <f t="shared" si="0"/>
        <v>872.298</v>
      </c>
      <c r="K7" s="4">
        <f t="shared" si="0"/>
        <v>2286.5679999999998</v>
      </c>
      <c r="L7" s="4">
        <f t="shared" si="0"/>
        <v>5983.45</v>
      </c>
      <c r="M7" s="5">
        <f t="shared" si="0"/>
        <v>15667.737999999999</v>
      </c>
    </row>
    <row r="8" spans="3:19" x14ac:dyDescent="0.4">
      <c r="C8" s="28"/>
      <c r="D8" s="1">
        <v>20</v>
      </c>
      <c r="E8" s="4">
        <f t="shared" si="1"/>
        <v>2.4725000000000001</v>
      </c>
      <c r="F8" s="4">
        <f t="shared" si="0"/>
        <v>22.252500000000001</v>
      </c>
      <c r="G8" s="4">
        <f t="shared" si="0"/>
        <v>39.56</v>
      </c>
      <c r="H8" s="4">
        <f t="shared" si="0"/>
        <v>158.24</v>
      </c>
      <c r="I8" s="4">
        <f t="shared" si="0"/>
        <v>417.85250000000002</v>
      </c>
      <c r="J8" s="4">
        <f t="shared" si="0"/>
        <v>1090.3725000000002</v>
      </c>
      <c r="K8" s="4">
        <f t="shared" si="0"/>
        <v>2858.21</v>
      </c>
      <c r="L8" s="4">
        <f t="shared" si="0"/>
        <v>7479.3125</v>
      </c>
      <c r="M8" s="5">
        <f t="shared" si="0"/>
        <v>19584.672500000001</v>
      </c>
    </row>
    <row r="9" spans="3:19" x14ac:dyDescent="0.4">
      <c r="C9" s="28"/>
      <c r="D9" s="1">
        <v>40</v>
      </c>
      <c r="E9" s="4">
        <f t="shared" si="1"/>
        <v>4.9450000000000003</v>
      </c>
      <c r="F9" s="4">
        <f t="shared" si="0"/>
        <v>44.505000000000003</v>
      </c>
      <c r="G9" s="4">
        <f t="shared" si="0"/>
        <v>79.12</v>
      </c>
      <c r="H9" s="4">
        <f t="shared" si="0"/>
        <v>316.48</v>
      </c>
      <c r="I9" s="4">
        <f t="shared" si="0"/>
        <v>835.70500000000004</v>
      </c>
      <c r="J9" s="4">
        <f t="shared" si="0"/>
        <v>2180.7450000000003</v>
      </c>
      <c r="K9" s="4">
        <f t="shared" si="0"/>
        <v>5716.42</v>
      </c>
      <c r="L9" s="4">
        <f t="shared" si="0"/>
        <v>14958.625</v>
      </c>
      <c r="M9" s="5">
        <f t="shared" si="0"/>
        <v>39169.345000000001</v>
      </c>
    </row>
    <row r="10" spans="3:19" x14ac:dyDescent="0.4">
      <c r="C10" s="28"/>
      <c r="D10" s="1">
        <v>50</v>
      </c>
      <c r="E10" s="4">
        <f t="shared" si="1"/>
        <v>6.1812500000000004</v>
      </c>
      <c r="F10" s="4">
        <f t="shared" si="0"/>
        <v>55.631250000000001</v>
      </c>
      <c r="G10" s="4">
        <f t="shared" si="0"/>
        <v>98.9</v>
      </c>
      <c r="H10" s="4">
        <f t="shared" si="0"/>
        <v>395.6</v>
      </c>
      <c r="I10" s="4">
        <f t="shared" si="0"/>
        <v>1044.6312500000001</v>
      </c>
      <c r="J10" s="4">
        <f t="shared" si="0"/>
        <v>2725.9312500000001</v>
      </c>
      <c r="K10" s="4">
        <f t="shared" si="0"/>
        <v>7145.5250000000005</v>
      </c>
      <c r="L10" s="4">
        <f t="shared" si="0"/>
        <v>18698.28125</v>
      </c>
      <c r="M10" s="5">
        <f t="shared" si="0"/>
        <v>48961.681250000001</v>
      </c>
    </row>
    <row r="11" spans="3:19" x14ac:dyDescent="0.4">
      <c r="C11" s="29"/>
      <c r="D11" s="3">
        <v>60</v>
      </c>
      <c r="E11" s="6">
        <f t="shared" si="1"/>
        <v>7.4174999999999995</v>
      </c>
      <c r="F11" s="6">
        <f t="shared" si="0"/>
        <v>66.757499999999993</v>
      </c>
      <c r="G11" s="6">
        <f t="shared" si="0"/>
        <v>118.67999999999999</v>
      </c>
      <c r="H11" s="6">
        <f t="shared" si="0"/>
        <v>474.71999999999997</v>
      </c>
      <c r="I11" s="6">
        <f t="shared" si="0"/>
        <v>1253.5574999999999</v>
      </c>
      <c r="J11" s="6">
        <f t="shared" si="0"/>
        <v>3271.1174999999998</v>
      </c>
      <c r="K11" s="6">
        <f t="shared" si="0"/>
        <v>8574.6299999999992</v>
      </c>
      <c r="L11" s="6">
        <f t="shared" si="0"/>
        <v>22437.9375</v>
      </c>
      <c r="M11" s="7">
        <f t="shared" si="0"/>
        <v>58754.017499999994</v>
      </c>
    </row>
    <row r="13" spans="3:19" x14ac:dyDescent="0.4">
      <c r="C13" s="25" t="s">
        <v>17</v>
      </c>
      <c r="D13" s="26"/>
      <c r="E13" s="26"/>
      <c r="F13" s="26"/>
      <c r="G13" s="26"/>
      <c r="H13" s="26"/>
      <c r="I13" s="26"/>
      <c r="J13" s="26"/>
      <c r="K13" s="26"/>
      <c r="L13" s="26"/>
      <c r="M13" s="30"/>
    </row>
    <row r="14" spans="3:19" x14ac:dyDescent="0.4">
      <c r="C14" s="9" t="s">
        <v>4</v>
      </c>
      <c r="D14" s="11">
        <v>20</v>
      </c>
      <c r="E14" s="25" t="s">
        <v>3</v>
      </c>
      <c r="F14" s="26"/>
      <c r="G14" s="26"/>
      <c r="H14" s="26"/>
      <c r="I14" s="26"/>
      <c r="J14" s="26"/>
      <c r="K14" s="26"/>
      <c r="L14" s="26"/>
      <c r="M14" s="30"/>
      <c r="R14" t="s">
        <v>6</v>
      </c>
    </row>
    <row r="15" spans="3:19" x14ac:dyDescent="0.4">
      <c r="C15" s="9" t="s">
        <v>16</v>
      </c>
      <c r="D15" s="11">
        <f>R15</f>
        <v>0.14439141365575098</v>
      </c>
      <c r="E15" s="2">
        <v>1</v>
      </c>
      <c r="F15" s="2">
        <v>3</v>
      </c>
      <c r="G15" s="2">
        <f>E15+F15</f>
        <v>4</v>
      </c>
      <c r="H15" s="2">
        <v>8</v>
      </c>
      <c r="I15" s="2">
        <v>13</v>
      </c>
      <c r="J15" s="2">
        <v>21</v>
      </c>
      <c r="K15" s="2">
        <v>34</v>
      </c>
      <c r="L15" s="2">
        <v>55</v>
      </c>
      <c r="M15" s="3">
        <v>89</v>
      </c>
      <c r="O15" s="12" t="s">
        <v>7</v>
      </c>
      <c r="P15" s="20">
        <v>112</v>
      </c>
      <c r="Q15" t="s">
        <v>11</v>
      </c>
      <c r="R15" s="19" cm="1">
        <f t="array" ref="R15">($P$15* [1]!PropsSI("D", "P", $P$17, "T", $P$18, "Water") / ($P$16)/3.6) * 0.72 * 1.3</f>
        <v>0.14439141365575098</v>
      </c>
      <c r="S15" t="s">
        <v>15</v>
      </c>
    </row>
    <row r="16" spans="3:19" x14ac:dyDescent="0.4">
      <c r="C16" s="31" t="s">
        <v>5</v>
      </c>
      <c r="D16" s="1">
        <v>1</v>
      </c>
      <c r="E16" s="32">
        <f>E3*$D$15*$D16*16</f>
        <v>0.2856062162110754</v>
      </c>
      <c r="F16" s="32">
        <f t="shared" ref="F16:M16" si="2">F3*$D$15*$D16*16</f>
        <v>2.570455945899679</v>
      </c>
      <c r="G16" s="32">
        <f t="shared" si="2"/>
        <v>4.5696994593772065</v>
      </c>
      <c r="H16" s="32">
        <f t="shared" si="2"/>
        <v>18.278797837508826</v>
      </c>
      <c r="I16" s="32">
        <f t="shared" si="2"/>
        <v>48.267450539671749</v>
      </c>
      <c r="J16" s="32">
        <f t="shared" si="2"/>
        <v>125.95234134908426</v>
      </c>
      <c r="K16" s="32">
        <f t="shared" si="2"/>
        <v>330.16078594000317</v>
      </c>
      <c r="L16" s="32">
        <f t="shared" si="2"/>
        <v>863.9588040385031</v>
      </c>
      <c r="M16" s="16">
        <f t="shared" si="2"/>
        <v>2262.2868386079285</v>
      </c>
      <c r="O16" s="12" t="s">
        <v>8</v>
      </c>
      <c r="P16" s="21">
        <v>1800</v>
      </c>
      <c r="Q16" t="s">
        <v>12</v>
      </c>
      <c r="R16" cm="1">
        <f t="array" ref="R16">($P$15* [1]!PropsSI("D", "P", $P$17, "T", $P$18, "Water") / ($P$16)/3.6) * 0.72 * 1.3</f>
        <v>0.14439141365575098</v>
      </c>
    </row>
    <row r="17" spans="3:17" x14ac:dyDescent="0.4">
      <c r="C17" s="23"/>
      <c r="D17" s="1">
        <v>7</v>
      </c>
      <c r="E17" s="32">
        <f t="shared" ref="E17:M24" si="3">E4*$D$15*$D17*16</f>
        <v>3.9984870269550559</v>
      </c>
      <c r="F17" s="32">
        <f t="shared" si="3"/>
        <v>35.986383242595508</v>
      </c>
      <c r="G17" s="32">
        <f t="shared" si="3"/>
        <v>63.975792431280894</v>
      </c>
      <c r="H17" s="32">
        <f t="shared" si="3"/>
        <v>255.90316972512358</v>
      </c>
      <c r="I17" s="32">
        <f t="shared" si="3"/>
        <v>675.74430755540448</v>
      </c>
      <c r="J17" s="32">
        <f t="shared" si="3"/>
        <v>1763.3327788871798</v>
      </c>
      <c r="K17" s="32">
        <f t="shared" si="3"/>
        <v>4622.2510031600441</v>
      </c>
      <c r="L17" s="32">
        <f t="shared" si="3"/>
        <v>12095.423256539043</v>
      </c>
      <c r="M17" s="16">
        <f t="shared" si="3"/>
        <v>31672.015740511</v>
      </c>
      <c r="O17" s="12" t="s">
        <v>9</v>
      </c>
      <c r="P17" s="21">
        <f>20*10^5</f>
        <v>2000000</v>
      </c>
      <c r="Q17" t="s">
        <v>13</v>
      </c>
    </row>
    <row r="18" spans="3:17" x14ac:dyDescent="0.4">
      <c r="C18" s="23"/>
      <c r="D18" s="1">
        <v>31</v>
      </c>
      <c r="E18" s="32">
        <f t="shared" si="3"/>
        <v>35.41517081017335</v>
      </c>
      <c r="F18" s="32">
        <f t="shared" si="3"/>
        <v>318.73653729156018</v>
      </c>
      <c r="G18" s="32">
        <f t="shared" si="3"/>
        <v>566.64273296277361</v>
      </c>
      <c r="H18" s="32">
        <f t="shared" si="3"/>
        <v>2266.5709318510944</v>
      </c>
      <c r="I18" s="32">
        <f t="shared" si="3"/>
        <v>5985.1638669192971</v>
      </c>
      <c r="J18" s="32">
        <f t="shared" si="3"/>
        <v>15618.090327286449</v>
      </c>
      <c r="K18" s="32">
        <f t="shared" si="3"/>
        <v>40939.937456560394</v>
      </c>
      <c r="L18" s="32">
        <f t="shared" si="3"/>
        <v>107130.89170077439</v>
      </c>
      <c r="M18" s="16">
        <f t="shared" si="3"/>
        <v>280523.56798738311</v>
      </c>
      <c r="O18" s="12" t="s">
        <v>10</v>
      </c>
      <c r="P18" s="22">
        <f>252+273</f>
        <v>525</v>
      </c>
      <c r="Q18" t="s">
        <v>14</v>
      </c>
    </row>
    <row r="19" spans="3:17" x14ac:dyDescent="0.4">
      <c r="C19" s="23"/>
      <c r="D19" s="1">
        <v>58</v>
      </c>
      <c r="E19" s="32">
        <f t="shared" si="3"/>
        <v>132.52128432193899</v>
      </c>
      <c r="F19" s="32">
        <f t="shared" si="3"/>
        <v>1192.6915588974509</v>
      </c>
      <c r="G19" s="32">
        <f t="shared" si="3"/>
        <v>2120.3405491510239</v>
      </c>
      <c r="H19" s="32">
        <f t="shared" si="3"/>
        <v>8481.3621966040955</v>
      </c>
      <c r="I19" s="32">
        <f t="shared" si="3"/>
        <v>22396.09705040769</v>
      </c>
      <c r="J19" s="32">
        <f t="shared" si="3"/>
        <v>58441.8863859751</v>
      </c>
      <c r="K19" s="32">
        <f t="shared" si="3"/>
        <v>153194.60467616146</v>
      </c>
      <c r="L19" s="32">
        <f t="shared" si="3"/>
        <v>400876.88507386541</v>
      </c>
      <c r="M19" s="16">
        <f t="shared" si="3"/>
        <v>1049701.0931140787</v>
      </c>
    </row>
    <row r="20" spans="3:17" x14ac:dyDescent="0.4">
      <c r="C20" s="23"/>
      <c r="D20" s="1">
        <f t="shared" ref="D20:D24" si="4">D19+D18</f>
        <v>89</v>
      </c>
      <c r="E20" s="32">
        <f t="shared" si="3"/>
        <v>406.70325188457139</v>
      </c>
      <c r="F20" s="32">
        <f t="shared" si="3"/>
        <v>3660.3292669611428</v>
      </c>
      <c r="G20" s="32">
        <f t="shared" si="3"/>
        <v>6507.2520301531422</v>
      </c>
      <c r="H20" s="32">
        <f t="shared" si="3"/>
        <v>26029.008120612569</v>
      </c>
      <c r="I20" s="32">
        <f t="shared" si="3"/>
        <v>68732.849568492573</v>
      </c>
      <c r="J20" s="32">
        <f t="shared" si="3"/>
        <v>179356.13408109598</v>
      </c>
      <c r="K20" s="32">
        <f t="shared" si="3"/>
        <v>470148.95917856449</v>
      </c>
      <c r="L20" s="32">
        <f t="shared" si="3"/>
        <v>1230277.3369508283</v>
      </c>
      <c r="M20" s="16">
        <f t="shared" si="3"/>
        <v>3221496.4581776904</v>
      </c>
    </row>
    <row r="21" spans="3:17" x14ac:dyDescent="0.4">
      <c r="C21" s="23"/>
      <c r="D21" s="1">
        <f t="shared" si="4"/>
        <v>147</v>
      </c>
      <c r="E21" s="32">
        <f t="shared" si="3"/>
        <v>839.68227566056191</v>
      </c>
      <c r="F21" s="32">
        <f t="shared" si="3"/>
        <v>7557.140480945056</v>
      </c>
      <c r="G21" s="32">
        <f t="shared" si="3"/>
        <v>13434.916410568991</v>
      </c>
      <c r="H21" s="32">
        <f t="shared" si="3"/>
        <v>53739.665642275962</v>
      </c>
      <c r="I21" s="32">
        <f t="shared" si="3"/>
        <v>141906.30458663494</v>
      </c>
      <c r="J21" s="32">
        <f t="shared" si="3"/>
        <v>370299.88356630778</v>
      </c>
      <c r="K21" s="32">
        <f t="shared" si="3"/>
        <v>970672.71066360932</v>
      </c>
      <c r="L21" s="32">
        <f t="shared" si="3"/>
        <v>2540038.8838731991</v>
      </c>
      <c r="M21" s="16">
        <f t="shared" si="3"/>
        <v>6651123.3055073097</v>
      </c>
    </row>
    <row r="22" spans="3:17" x14ac:dyDescent="0.4">
      <c r="C22" s="23"/>
      <c r="D22" s="1">
        <f t="shared" si="4"/>
        <v>236</v>
      </c>
      <c r="E22" s="32">
        <f t="shared" si="3"/>
        <v>2696.1226810325525</v>
      </c>
      <c r="F22" s="32">
        <f t="shared" si="3"/>
        <v>24265.104129292969</v>
      </c>
      <c r="G22" s="32">
        <f t="shared" si="3"/>
        <v>43137.962896520839</v>
      </c>
      <c r="H22" s="32">
        <f t="shared" si="3"/>
        <v>172551.85158608336</v>
      </c>
      <c r="I22" s="32">
        <f t="shared" si="3"/>
        <v>455644.73309450131</v>
      </c>
      <c r="J22" s="32">
        <f t="shared" si="3"/>
        <v>1188990.1023353557</v>
      </c>
      <c r="K22" s="32">
        <f t="shared" si="3"/>
        <v>3116717.8192736302</v>
      </c>
      <c r="L22" s="32">
        <f t="shared" si="3"/>
        <v>8155771.1101234695</v>
      </c>
      <c r="M22" s="16">
        <f t="shared" si="3"/>
        <v>21355987.756458845</v>
      </c>
    </row>
    <row r="23" spans="3:17" x14ac:dyDescent="0.4">
      <c r="C23" s="23"/>
      <c r="D23" s="1">
        <f t="shared" si="4"/>
        <v>383</v>
      </c>
      <c r="E23" s="32">
        <f t="shared" si="3"/>
        <v>5469.3590404420947</v>
      </c>
      <c r="F23" s="32">
        <f t="shared" si="3"/>
        <v>49224.231363978848</v>
      </c>
      <c r="G23" s="32">
        <f t="shared" si="3"/>
        <v>87509.744647073516</v>
      </c>
      <c r="H23" s="32">
        <f t="shared" si="3"/>
        <v>350038.97858829406</v>
      </c>
      <c r="I23" s="32">
        <f t="shared" si="3"/>
        <v>924321.67783471406</v>
      </c>
      <c r="J23" s="32">
        <f t="shared" si="3"/>
        <v>2411987.3368349639</v>
      </c>
      <c r="K23" s="32">
        <f t="shared" si="3"/>
        <v>6322579.0507510621</v>
      </c>
      <c r="L23" s="32">
        <f t="shared" si="3"/>
        <v>16544811.097337335</v>
      </c>
      <c r="M23" s="16">
        <f t="shared" si="3"/>
        <v>43322792.959341832</v>
      </c>
    </row>
    <row r="24" spans="3:17" x14ac:dyDescent="0.4">
      <c r="C24" s="24"/>
      <c r="D24" s="3">
        <f t="shared" si="4"/>
        <v>619</v>
      </c>
      <c r="E24" s="17">
        <f t="shared" si="3"/>
        <v>10607.414870079341</v>
      </c>
      <c r="F24" s="17">
        <f t="shared" si="3"/>
        <v>95466.733830714074</v>
      </c>
      <c r="G24" s="17">
        <f t="shared" si="3"/>
        <v>169718.63792126946</v>
      </c>
      <c r="H24" s="17">
        <f t="shared" si="3"/>
        <v>678874.55168507784</v>
      </c>
      <c r="I24" s="17">
        <f t="shared" si="3"/>
        <v>1792653.1130434086</v>
      </c>
      <c r="J24" s="17">
        <f t="shared" si="3"/>
        <v>4677869.9577049892</v>
      </c>
      <c r="K24" s="17">
        <f t="shared" si="3"/>
        <v>12262171.589811718</v>
      </c>
      <c r="L24" s="17">
        <f t="shared" si="3"/>
        <v>32087429.981990006</v>
      </c>
      <c r="M24" s="18">
        <f t="shared" si="3"/>
        <v>84021333.185898453</v>
      </c>
    </row>
    <row r="26" spans="3:17" x14ac:dyDescent="0.4">
      <c r="C26" s="25" t="s">
        <v>17</v>
      </c>
      <c r="D26" s="26"/>
      <c r="E26" s="26"/>
      <c r="F26" s="26"/>
      <c r="G26" s="26"/>
      <c r="H26" s="26"/>
      <c r="I26" s="8"/>
    </row>
    <row r="27" spans="3:17" x14ac:dyDescent="0.4">
      <c r="C27" s="9" t="s">
        <v>4</v>
      </c>
      <c r="D27" s="11">
        <v>20</v>
      </c>
      <c r="E27" s="25" t="s">
        <v>3</v>
      </c>
      <c r="F27" s="26"/>
      <c r="G27" s="26"/>
      <c r="H27" s="26"/>
      <c r="I27" s="11"/>
      <c r="J27" s="13"/>
      <c r="K27" s="13"/>
      <c r="L27" s="13"/>
      <c r="M27" s="11"/>
    </row>
    <row r="28" spans="3:17" x14ac:dyDescent="0.4">
      <c r="C28" s="9" t="s">
        <v>16</v>
      </c>
      <c r="D28" s="11">
        <v>0.51980908916070356</v>
      </c>
      <c r="E28" s="13">
        <v>21</v>
      </c>
      <c r="F28" s="13">
        <v>34</v>
      </c>
      <c r="G28" s="13">
        <v>55</v>
      </c>
      <c r="H28" s="11">
        <v>89</v>
      </c>
    </row>
    <row r="29" spans="3:17" x14ac:dyDescent="0.4">
      <c r="C29" s="23" t="s">
        <v>5</v>
      </c>
      <c r="D29" s="1">
        <v>1</v>
      </c>
      <c r="E29" s="15">
        <v>680.1426432850551</v>
      </c>
      <c r="F29" s="15">
        <v>1782.8682440760172</v>
      </c>
      <c r="G29" s="15">
        <v>4665.3775418079167</v>
      </c>
      <c r="H29" s="16">
        <v>12216.348928482816</v>
      </c>
    </row>
    <row r="30" spans="3:17" x14ac:dyDescent="0.4">
      <c r="C30" s="23"/>
      <c r="D30" s="1">
        <v>7</v>
      </c>
      <c r="E30" s="15">
        <v>9521.9970059907719</v>
      </c>
      <c r="F30" s="15">
        <v>24960.155417064238</v>
      </c>
      <c r="G30" s="15">
        <v>65315.285585310834</v>
      </c>
      <c r="H30" s="16">
        <v>171028.88499875943</v>
      </c>
    </row>
    <row r="31" spans="3:17" x14ac:dyDescent="0.4">
      <c r="C31" s="23"/>
      <c r="D31" s="1">
        <v>31</v>
      </c>
      <c r="E31" s="15">
        <v>84337.687767346841</v>
      </c>
      <c r="F31" s="15">
        <v>221075.66226542613</v>
      </c>
      <c r="G31" s="15">
        <v>578506.81518418167</v>
      </c>
      <c r="H31" s="16">
        <v>1514827.267131869</v>
      </c>
    </row>
    <row r="32" spans="3:17" x14ac:dyDescent="0.4">
      <c r="C32" s="23"/>
      <c r="D32" s="1">
        <v>58</v>
      </c>
      <c r="E32" s="15">
        <v>315586.18648426561</v>
      </c>
      <c r="F32" s="15">
        <v>827250.86525127199</v>
      </c>
      <c r="G32" s="15">
        <v>2164735.1793988738</v>
      </c>
      <c r="H32" s="16">
        <v>5668385.9028160265</v>
      </c>
    </row>
    <row r="33" spans="3:10" x14ac:dyDescent="0.4">
      <c r="C33" s="23"/>
      <c r="D33" s="1">
        <f t="shared" ref="D33:D37" si="5">D32+D31</f>
        <v>89</v>
      </c>
      <c r="E33" s="15">
        <v>968523.12403791863</v>
      </c>
      <c r="F33" s="15">
        <v>2538804.3795642485</v>
      </c>
      <c r="G33" s="15">
        <v>6643497.6195344739</v>
      </c>
      <c r="H33" s="16">
        <v>17396080.87415953</v>
      </c>
    </row>
    <row r="34" spans="3:10" x14ac:dyDescent="0.4">
      <c r="C34" s="23"/>
      <c r="D34" s="1">
        <f t="shared" si="5"/>
        <v>147</v>
      </c>
      <c r="E34" s="15">
        <v>1999619.3712580618</v>
      </c>
      <c r="F34" s="15">
        <v>5241632.6375834914</v>
      </c>
      <c r="G34" s="15">
        <v>13716209.972915277</v>
      </c>
      <c r="H34" s="16">
        <v>35916065.849739477</v>
      </c>
      <c r="J34" s="14"/>
    </row>
    <row r="35" spans="3:10" x14ac:dyDescent="0.4">
      <c r="C35" s="23"/>
      <c r="D35" s="1">
        <f t="shared" si="5"/>
        <v>236</v>
      </c>
      <c r="E35" s="15">
        <v>6420546.5526109207</v>
      </c>
      <c r="F35" s="15">
        <v>16830276.224077605</v>
      </c>
      <c r="G35" s="15">
        <v>44041163.99466674</v>
      </c>
      <c r="H35" s="16">
        <v>115322333.88487777</v>
      </c>
    </row>
    <row r="36" spans="3:10" x14ac:dyDescent="0.4">
      <c r="C36" s="23"/>
      <c r="D36" s="1">
        <f t="shared" si="5"/>
        <v>383</v>
      </c>
      <c r="E36" s="15">
        <v>13024731.618908806</v>
      </c>
      <c r="F36" s="15">
        <v>34141926.874055736</v>
      </c>
      <c r="G36" s="15">
        <v>89341979.925621629</v>
      </c>
      <c r="H36" s="16">
        <v>233943081.98044592</v>
      </c>
    </row>
    <row r="37" spans="3:10" x14ac:dyDescent="0.4">
      <c r="C37" s="24"/>
      <c r="D37" s="3">
        <f t="shared" si="5"/>
        <v>619</v>
      </c>
      <c r="E37" s="17">
        <v>25260497.771606945</v>
      </c>
      <c r="F37" s="17">
        <v>66215726.584983289</v>
      </c>
      <c r="G37" s="17">
        <v>173272121.90274605</v>
      </c>
      <c r="H37" s="18">
        <v>453715199.203852</v>
      </c>
    </row>
  </sheetData>
  <mergeCells count="9">
    <mergeCell ref="C29:C37"/>
    <mergeCell ref="C26:H26"/>
    <mergeCell ref="E27:H27"/>
    <mergeCell ref="C3:C11"/>
    <mergeCell ref="E1:M1"/>
    <mergeCell ref="C1:D1"/>
    <mergeCell ref="C16:C24"/>
    <mergeCell ref="C13:M13"/>
    <mergeCell ref="E14:M14"/>
  </mergeCells>
  <conditionalFormatting sqref="C1:M1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{AE2E7EAE-98D3-428F-A1F0-5D518C4F2CCC}</x14:id>
        </ext>
      </extLst>
    </cfRule>
  </conditionalFormatting>
  <conditionalFormatting sqref="E29:H3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6:M24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{65D829E3-16E4-4C6C-A176-36D2AFC68C43}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2E7EAE-98D3-428F-A1F0-5D518C4F2C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C1:M11</xm:sqref>
        </x14:conditionalFormatting>
        <x14:conditionalFormatting xmlns:xm="http://schemas.microsoft.com/office/excel/2006/main">
          <x14:cfRule type="dataBar" id="{65D829E3-16E4-4C6C-A176-36D2AFC68C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Henroz,Alexandre A.M.A.M.S.D.M.</dc:creator>
  <cp:lastModifiedBy>Henroz,Alexandre A.M.A.M.S.D.M.</cp:lastModifiedBy>
  <dcterms:created xsi:type="dcterms:W3CDTF">2026-05-19T10:48:35Z</dcterms:created>
  <dcterms:modified xsi:type="dcterms:W3CDTF">2026-06-21T13:57:14Z</dcterms:modified>
</cp:coreProperties>
</file>