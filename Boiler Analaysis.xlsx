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24513_student_fontys_nl/Documents/IvyGlobal/Project/Veolia/"/>
    </mc:Choice>
  </mc:AlternateContent>
  <xr:revisionPtr revIDLastSave="187" documentId="8_{6AE00720-4833-45D7-A5FA-CCC71C6887A9}" xr6:coauthVersionLast="47" xr6:coauthVersionMax="47" xr10:uidLastSave="{8653EA63-4B9B-4334-8479-19D1FBD8A56C}"/>
  <bookViews>
    <workbookView minimized="1" xWindow="0" yWindow="760" windowWidth="14400" windowHeight="7450" xr2:uid="{E76CB3E9-449C-443C-BEA7-5E466D5C0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52" i="1" l="1"/>
  <c r="Y52" i="1"/>
  <c r="AA52" i="1" s="1"/>
  <c r="Y51" i="1"/>
  <c r="Z51" i="1" s="1"/>
  <c r="X52" i="1"/>
  <c r="X51" i="1"/>
  <c r="Q50" i="1"/>
  <c r="Q55" i="1"/>
  <c r="AA51" i="1" l="1"/>
  <c r="Q53" i="1"/>
  <c r="E53" i="1" l="1"/>
  <c r="E52" i="1"/>
  <c r="E51" i="1"/>
  <c r="E50" i="1"/>
  <c r="F50" i="1" s="1"/>
  <c r="E68" i="1"/>
  <c r="F77" i="1"/>
  <c r="E78" i="1"/>
  <c r="F78" i="1" s="1"/>
  <c r="E79" i="1"/>
  <c r="F79" i="1" s="1"/>
  <c r="E80" i="1"/>
  <c r="G77" i="1"/>
  <c r="E77" i="1"/>
  <c r="AE84" i="1"/>
  <c r="AF84" i="1"/>
  <c r="AG84" i="1"/>
  <c r="AH84" i="1"/>
  <c r="AI84" i="1"/>
  <c r="AE85" i="1"/>
  <c r="AF85" i="1"/>
  <c r="AG85" i="1"/>
  <c r="AH85" i="1"/>
  <c r="AI85" i="1"/>
  <c r="AE86" i="1"/>
  <c r="AF86" i="1"/>
  <c r="AG86" i="1"/>
  <c r="AH86" i="1"/>
  <c r="AI86" i="1"/>
  <c r="AF83" i="1"/>
  <c r="AG83" i="1"/>
  <c r="AH83" i="1"/>
  <c r="AI83" i="1"/>
  <c r="AE83" i="1"/>
  <c r="AF74" i="1"/>
  <c r="AE74" i="1"/>
  <c r="AI78" i="1"/>
  <c r="AH78" i="1"/>
  <c r="AG78" i="1"/>
  <c r="AF78" i="1"/>
  <c r="AE78" i="1"/>
  <c r="AI77" i="1"/>
  <c r="AH77" i="1"/>
  <c r="AG77" i="1"/>
  <c r="AF77" i="1"/>
  <c r="AE77" i="1"/>
  <c r="AI76" i="1"/>
  <c r="AH76" i="1"/>
  <c r="AG76" i="1"/>
  <c r="AF76" i="1"/>
  <c r="AE76" i="1"/>
  <c r="AI75" i="1"/>
  <c r="AH75" i="1"/>
  <c r="AG75" i="1"/>
  <c r="AF75" i="1"/>
  <c r="AE75" i="1"/>
  <c r="AI74" i="1"/>
  <c r="AH74" i="1"/>
  <c r="AG74" i="1"/>
  <c r="AE66" i="1"/>
  <c r="AF66" i="1"/>
  <c r="AG66" i="1"/>
  <c r="AH66" i="1"/>
  <c r="AI66" i="1"/>
  <c r="AE67" i="1"/>
  <c r="AF67" i="1"/>
  <c r="AG67" i="1"/>
  <c r="AH67" i="1"/>
  <c r="AI67" i="1"/>
  <c r="AE68" i="1"/>
  <c r="AF68" i="1"/>
  <c r="AG68" i="1"/>
  <c r="AH68" i="1"/>
  <c r="AI68" i="1"/>
  <c r="AE69" i="1"/>
  <c r="AF69" i="1"/>
  <c r="AG69" i="1"/>
  <c r="AH69" i="1"/>
  <c r="AI69" i="1"/>
  <c r="AF65" i="1"/>
  <c r="AG65" i="1"/>
  <c r="AH65" i="1"/>
  <c r="AI65" i="1"/>
  <c r="AE65" i="1"/>
  <c r="F53" i="1"/>
  <c r="E70" i="1"/>
  <c r="E61" i="1"/>
  <c r="E34" i="1"/>
  <c r="E42" i="1"/>
  <c r="E43" i="1"/>
  <c r="E44" i="1"/>
  <c r="E45" i="1"/>
  <c r="E41" i="1"/>
  <c r="F80" i="1"/>
  <c r="W10" i="1"/>
  <c r="E69" i="1"/>
  <c r="E71" i="1"/>
  <c r="F71" i="1" s="1"/>
  <c r="E72" i="1"/>
  <c r="F72" i="1" s="1"/>
  <c r="E60" i="1"/>
  <c r="E62" i="1"/>
  <c r="E63" i="1"/>
  <c r="E59" i="1"/>
  <c r="E32" i="1"/>
  <c r="D58" i="1"/>
  <c r="F70" i="1"/>
  <c r="F69" i="1"/>
  <c r="F44" i="1"/>
  <c r="F41" i="1"/>
  <c r="H41" i="1" s="1"/>
  <c r="I41" i="1" s="1"/>
  <c r="P18" i="1"/>
  <c r="P9" i="1"/>
  <c r="D31" i="1"/>
  <c r="E33" i="1" s="1"/>
  <c r="F33" i="1" s="1"/>
  <c r="F52" i="1"/>
  <c r="F51" i="1"/>
  <c r="F45" i="1"/>
  <c r="F43" i="1"/>
  <c r="H43" i="1" s="1"/>
  <c r="I43" i="1" s="1"/>
  <c r="F42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R37" i="1"/>
  <c r="R38" i="1"/>
  <c r="R39" i="1"/>
  <c r="R40" i="1"/>
  <c r="R36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R32" i="1"/>
  <c r="R33" i="1"/>
  <c r="R34" i="1"/>
  <c r="R31" i="1"/>
  <c r="R42" i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T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G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T42" i="1" s="1"/>
  <c r="BU42" i="1" s="1"/>
  <c r="BV42" i="1" s="1"/>
  <c r="BW42" i="1" s="1"/>
  <c r="BX42" i="1" s="1"/>
  <c r="BY42" i="1" s="1"/>
  <c r="W11" i="1"/>
  <c r="X11" i="1" s="1"/>
  <c r="W12" i="1"/>
  <c r="X12" i="1" s="1"/>
  <c r="W13" i="1"/>
  <c r="X13" i="1" s="1"/>
  <c r="O8" i="1"/>
  <c r="P19" i="1" s="1"/>
  <c r="Q19" i="1" s="1"/>
  <c r="D10" i="1"/>
  <c r="P10" i="1" s="1"/>
  <c r="Q10" i="1" s="1"/>
  <c r="D11" i="1"/>
  <c r="P11" i="1" s="1"/>
  <c r="Q11" i="1" s="1"/>
  <c r="R11" i="1" s="1"/>
  <c r="D12" i="1"/>
  <c r="P12" i="1" s="1"/>
  <c r="Q12" i="1" s="1"/>
  <c r="R12" i="1" s="1"/>
  <c r="D13" i="1"/>
  <c r="P13" i="1" s="1"/>
  <c r="Q13" i="1" s="1"/>
  <c r="R13" i="1" s="1"/>
  <c r="D9" i="1"/>
  <c r="X10" i="1" s="1"/>
  <c r="H77" i="1" l="1"/>
  <c r="I77" i="1" s="1"/>
  <c r="F59" i="1"/>
  <c r="H59" i="1" s="1"/>
  <c r="I59" i="1" s="1"/>
  <c r="F60" i="1"/>
  <c r="G60" i="1" s="1"/>
  <c r="F61" i="1"/>
  <c r="H61" i="1" s="1"/>
  <c r="I61" i="1" s="1"/>
  <c r="F62" i="1"/>
  <c r="H62" i="1" s="1"/>
  <c r="I62" i="1" s="1"/>
  <c r="F63" i="1"/>
  <c r="G63" i="1" s="1"/>
  <c r="H69" i="1"/>
  <c r="I69" i="1" s="1"/>
  <c r="G69" i="1"/>
  <c r="G70" i="1"/>
  <c r="H70" i="1"/>
  <c r="I70" i="1" s="1"/>
  <c r="H71" i="1"/>
  <c r="I71" i="1" s="1"/>
  <c r="G71" i="1"/>
  <c r="H72" i="1"/>
  <c r="I72" i="1" s="1"/>
  <c r="G72" i="1"/>
  <c r="H78" i="1"/>
  <c r="I78" i="1" s="1"/>
  <c r="G78" i="1"/>
  <c r="H79" i="1"/>
  <c r="I79" i="1" s="1"/>
  <c r="G79" i="1"/>
  <c r="H80" i="1"/>
  <c r="I80" i="1" s="1"/>
  <c r="G80" i="1"/>
  <c r="E36" i="1"/>
  <c r="F36" i="1" s="1"/>
  <c r="E35" i="1"/>
  <c r="F35" i="1" s="1"/>
  <c r="G35" i="1" s="1"/>
  <c r="F34" i="1"/>
  <c r="G34" i="1" s="1"/>
  <c r="F32" i="1"/>
  <c r="G32" i="1" s="1"/>
  <c r="H51" i="1"/>
  <c r="I51" i="1" s="1"/>
  <c r="G51" i="1"/>
  <c r="H52" i="1"/>
  <c r="I52" i="1" s="1"/>
  <c r="G52" i="1"/>
  <c r="H50" i="1"/>
  <c r="I50" i="1" s="1"/>
  <c r="G50" i="1"/>
  <c r="H53" i="1"/>
  <c r="I53" i="1" s="1"/>
  <c r="G53" i="1"/>
  <c r="H33" i="1"/>
  <c r="I33" i="1" s="1"/>
  <c r="G33" i="1"/>
  <c r="H42" i="1"/>
  <c r="I42" i="1" s="1"/>
  <c r="G42" i="1"/>
  <c r="H44" i="1"/>
  <c r="I44" i="1" s="1"/>
  <c r="G44" i="1"/>
  <c r="H45" i="1"/>
  <c r="I45" i="1" s="1"/>
  <c r="G45" i="1"/>
  <c r="G43" i="1"/>
  <c r="G41" i="1"/>
  <c r="Z10" i="1"/>
  <c r="AA10" i="1" s="1"/>
  <c r="Y10" i="1"/>
  <c r="S10" i="1"/>
  <c r="T10" i="1" s="1"/>
  <c r="R10" i="1"/>
  <c r="S19" i="1"/>
  <c r="T19" i="1" s="1"/>
  <c r="R19" i="1"/>
  <c r="Z13" i="1"/>
  <c r="AA13" i="1" s="1"/>
  <c r="Y13" i="1"/>
  <c r="Z12" i="1"/>
  <c r="AA12" i="1" s="1"/>
  <c r="Y12" i="1"/>
  <c r="Z11" i="1"/>
  <c r="AA11" i="1" s="1"/>
  <c r="Y11" i="1"/>
  <c r="Q18" i="1"/>
  <c r="P22" i="1"/>
  <c r="Q22" i="1" s="1"/>
  <c r="R22" i="1" s="1"/>
  <c r="P21" i="1"/>
  <c r="Q21" i="1" s="1"/>
  <c r="S21" i="1" s="1"/>
  <c r="T21" i="1" s="1"/>
  <c r="P20" i="1"/>
  <c r="Q20" i="1" s="1"/>
  <c r="R20" i="1" s="1"/>
  <c r="Q9" i="1"/>
  <c r="R9" i="1"/>
  <c r="S9" i="1"/>
  <c r="T9" i="1"/>
  <c r="S13" i="1"/>
  <c r="T13" i="1" s="1"/>
  <c r="S12" i="1"/>
  <c r="T12" i="1" s="1"/>
  <c r="S11" i="1"/>
  <c r="T11" i="1" s="1"/>
  <c r="H60" i="1" l="1"/>
  <c r="I60" i="1" s="1"/>
  <c r="H63" i="1"/>
  <c r="I63" i="1" s="1"/>
  <c r="G61" i="1"/>
  <c r="H35" i="1"/>
  <c r="I35" i="1" s="1"/>
  <c r="G59" i="1"/>
  <c r="H36" i="1"/>
  <c r="I36" i="1" s="1"/>
  <c r="F68" i="1"/>
  <c r="G62" i="1"/>
  <c r="G36" i="1"/>
  <c r="H32" i="1"/>
  <c r="I32" i="1" s="1"/>
  <c r="H34" i="1"/>
  <c r="I34" i="1" s="1"/>
  <c r="S20" i="1"/>
  <c r="T20" i="1" s="1"/>
  <c r="S22" i="1"/>
  <c r="T22" i="1" s="1"/>
  <c r="R21" i="1"/>
  <c r="S18" i="1"/>
  <c r="T18" i="1" s="1"/>
  <c r="R18" i="1"/>
  <c r="H68" i="1" l="1"/>
  <c r="I68" i="1" s="1"/>
  <c r="G68" i="1"/>
</calcChain>
</file>

<file path=xl/sharedStrings.xml><?xml version="1.0" encoding="utf-8"?>
<sst xmlns="http://schemas.openxmlformats.org/spreadsheetml/2006/main" count="402" uniqueCount="128">
  <si>
    <t>m_steam</t>
  </si>
  <si>
    <t>h_steam</t>
  </si>
  <si>
    <t>h_feedwater</t>
  </si>
  <si>
    <t>n_boiler</t>
  </si>
  <si>
    <t>k_natural gas</t>
  </si>
  <si>
    <t>k_elec</t>
  </si>
  <si>
    <t>k_hydrogen</t>
  </si>
  <si>
    <t>k_biomass</t>
  </si>
  <si>
    <t>kg</t>
  </si>
  <si>
    <t>€/KWh</t>
  </si>
  <si>
    <t>%</t>
  </si>
  <si>
    <t>Kj/kg</t>
  </si>
  <si>
    <t>k_iron fuel</t>
  </si>
  <si>
    <t>Savings</t>
  </si>
  <si>
    <t>Cost</t>
  </si>
  <si>
    <t>Emisions</t>
  </si>
  <si>
    <t>€/kWh</t>
  </si>
  <si>
    <t>KJ/kg</t>
  </si>
  <si>
    <t>J/J</t>
  </si>
  <si>
    <t>kWh / kg</t>
  </si>
  <si>
    <t>Energy</t>
  </si>
  <si>
    <t>Cost per KJ</t>
  </si>
  <si>
    <t>€/KJ</t>
  </si>
  <si>
    <t>Natural Gas</t>
  </si>
  <si>
    <t>Electricity</t>
  </si>
  <si>
    <t>Hydrogen</t>
  </si>
  <si>
    <t>Biomass</t>
  </si>
  <si>
    <t>Iron Fuel</t>
  </si>
  <si>
    <t>One Week</t>
  </si>
  <si>
    <t>One Month</t>
  </si>
  <si>
    <t>One Year</t>
  </si>
  <si>
    <t>Ten Years</t>
  </si>
  <si>
    <t>Per Second</t>
  </si>
  <si>
    <t>Second</t>
  </si>
  <si>
    <t>g Co2/MJ</t>
  </si>
  <si>
    <t>Emmisions From Different Fuels (16h per day) (tons)</t>
  </si>
  <si>
    <t>Energy in (KJ)</t>
  </si>
  <si>
    <t>Cost over Time (16h per day) (€)</t>
  </si>
  <si>
    <t>Boiler eff</t>
  </si>
  <si>
    <t>Cost Savings when Swapping Fuel from Natural Gas) (€)</t>
  </si>
  <si>
    <t>Emissions</t>
  </si>
  <si>
    <t>Month</t>
  </si>
  <si>
    <t>k-14 Boiler</t>
  </si>
  <si>
    <t>80 percent capacity</t>
  </si>
  <si>
    <t>Opperating at 80% Capacity</t>
  </si>
  <si>
    <t>Opperating at 65% Capacity</t>
  </si>
  <si>
    <t>65 percent capacity</t>
  </si>
  <si>
    <t>Diffrenence in Cost and Emissions between 80% and 65% opperating capacity</t>
  </si>
  <si>
    <t>Component / Stream</t>
  </si>
  <si>
    <t>Spec. Exergy (kJ/kg)</t>
  </si>
  <si>
    <t>Mass Flow (kg/s)</t>
  </si>
  <si>
    <t>Total Exergy (kW)</t>
  </si>
  <si>
    <t>HP Header (50 bar)</t>
  </si>
  <si>
    <t>MD Header (20 bar)</t>
  </si>
  <si>
    <t>LD Header (2.5 bar)</t>
  </si>
  <si>
    <t>K14 Feedwater In</t>
  </si>
  <si>
    <t>K14 Steam Out</t>
  </si>
  <si>
    <t>K14 Fuel (HHV)</t>
  </si>
  <si>
    <t>K15 Feedwater In</t>
  </si>
  <si>
    <t>K15 Steam Out</t>
  </si>
  <si>
    <t>K15 Fuel (HHV)</t>
  </si>
  <si>
    <t>Inlet Steam</t>
  </si>
  <si>
    <t>Outlet Steam</t>
  </si>
  <si>
    <t>Power Output (kW)</t>
  </si>
  <si>
    <t>-</t>
  </si>
  <si>
    <t>Exergy Destruction</t>
  </si>
  <si>
    <t>Second Law Efficiency</t>
  </si>
  <si>
    <t>PRV Inlet Steam (50 to 20 bar)</t>
  </si>
  <si>
    <t>PRV Injection Water</t>
  </si>
  <si>
    <t>PRV Outlet Mixed</t>
  </si>
  <si>
    <t>PRV Exergy Destruction</t>
  </si>
  <si>
    <t>PRV Second Law Efficiency</t>
  </si>
  <si>
    <t>Steam Drum Inlet Steam</t>
  </si>
  <si>
    <t>Steam Drum Injection Water</t>
  </si>
  <si>
    <t>Steam Drum Outlet Steam</t>
  </si>
  <si>
    <t>Steam Drum Second Law Efficiency</t>
  </si>
  <si>
    <t>Condensate In</t>
  </si>
  <si>
    <t>Steam In</t>
  </si>
  <si>
    <t>Line 1 Outflow</t>
  </si>
  <si>
    <t>Line 2 Outflow</t>
  </si>
  <si>
    <t>Total Outflow</t>
  </si>
  <si>
    <t>Client / User Type</t>
  </si>
  <si>
    <t>MP Client 01</t>
  </si>
  <si>
    <t>MP Client 02</t>
  </si>
  <si>
    <t>MP Client 03 / 04 / 05</t>
  </si>
  <si>
    <t>TOTAL MP Users</t>
  </si>
  <si>
    <t>LP Client 01 / 06 / 07 / 12 / 14</t>
  </si>
  <si>
    <t>LP Client 02</t>
  </si>
  <si>
    <t>LP Client 03</t>
  </si>
  <si>
    <t>LP Client 04</t>
  </si>
  <si>
    <t>LP Client 05</t>
  </si>
  <si>
    <t>LP Client 08</t>
  </si>
  <si>
    <t>LP Client 09</t>
  </si>
  <si>
    <t>LP Client 10</t>
  </si>
  <si>
    <t>LP Client 11</t>
  </si>
  <si>
    <t>LP Client 13</t>
  </si>
  <si>
    <t>TOTAL LP Users</t>
  </si>
  <si>
    <t>City Heating</t>
  </si>
  <si>
    <t>Sootblower</t>
  </si>
  <si>
    <t>Deaerator (to Dg)</t>
  </si>
  <si>
    <t>Large Vent Loss</t>
  </si>
  <si>
    <t>Small Vent Loss</t>
  </si>
  <si>
    <t>Parameter</t>
  </si>
  <si>
    <t>Value</t>
  </si>
  <si>
    <t>Carnot Efficiency</t>
  </si>
  <si>
    <t>Isentropic Efficiency</t>
  </si>
  <si>
    <t>Work Out</t>
  </si>
  <si>
    <t>Inlet Conditions</t>
  </si>
  <si>
    <t>425.20 °C @ 51.98 Bar</t>
  </si>
  <si>
    <t>Outlet Conditions</t>
  </si>
  <si>
    <t>231.52 °C @ 2.52 Bar</t>
  </si>
  <si>
    <t>Boiler 14 cost of steam</t>
  </si>
  <si>
    <t>m_fuel</t>
  </si>
  <si>
    <t>delta_h</t>
  </si>
  <si>
    <t>k_fuel</t>
  </si>
  <si>
    <t>euro/ton</t>
  </si>
  <si>
    <t>euro/kg</t>
  </si>
  <si>
    <t xml:space="preserve">mass difference: </t>
  </si>
  <si>
    <t xml:space="preserve">mean </t>
  </si>
  <si>
    <t>kg/s</t>
  </si>
  <si>
    <t>Week</t>
  </si>
  <si>
    <t>Year</t>
  </si>
  <si>
    <t>Per second</t>
  </si>
  <si>
    <t>subtracting 16 bar steam</t>
  </si>
  <si>
    <t>Measured Difference</t>
  </si>
  <si>
    <t>Cost of steam: € 0.00845</t>
  </si>
  <si>
    <t>Cost of lost steam from boiler 14</t>
  </si>
  <si>
    <t>Corrected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</si>
</sst>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€-413]\ #,##0"/>
    <numFmt numFmtId="165" formatCode="[$€-2]\ #,##0"/>
    <numFmt numFmtId="166" formatCode="[$€-2]\ #,##0.00000"/>
    <numFmt numFmtId="167" formatCode="[$€-2]\ #,##0.00"/>
    <numFmt numFmtId="168" formatCode="[$€-2]\ #,##0.000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4" xfId="0" applyBorder="1" applyAlignment="1">
      <alignment horizontal="right"/>
    </xf>
    <xf numFmtId="164" fontId="0" fillId="0" borderId="0" xfId="0" applyNumberFormat="1"/>
    <xf numFmtId="164" fontId="0" fillId="0" borderId="3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0" fontId="0" fillId="0" borderId="8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1" fontId="0" fillId="0" borderId="0" xfId="0" applyNumberFormat="1"/>
    <xf numFmtId="1" fontId="0" fillId="0" borderId="3" xfId="0" applyNumberFormat="1" applyBorder="1"/>
    <xf numFmtId="1" fontId="0" fillId="0" borderId="6" xfId="0" applyNumberFormat="1" applyBorder="1"/>
    <xf numFmtId="1" fontId="0" fillId="0" borderId="7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5" fontId="0" fillId="0" borderId="0" xfId="0" applyNumberFormat="1"/>
    <xf numFmtId="165" fontId="0" fillId="0" borderId="3" xfId="0" applyNumberFormat="1" applyBorder="1"/>
    <xf numFmtId="165" fontId="0" fillId="0" borderId="6" xfId="0" applyNumberFormat="1" applyBorder="1"/>
    <xf numFmtId="165" fontId="0" fillId="0" borderId="7" xfId="0" applyNumberFormat="1" applyBorder="1"/>
    <xf numFmtId="0" fontId="0" fillId="0" borderId="1" xfId="0" applyBorder="1"/>
    <xf numFmtId="9" fontId="0" fillId="0" borderId="2" xfId="0" applyNumberFormat="1" applyBorder="1"/>
    <xf numFmtId="0" fontId="0" fillId="0" borderId="0" xfId="0" applyAlignment="1">
      <alignment horizontal="right"/>
    </xf>
    <xf numFmtId="0" fontId="0" fillId="0" borderId="6" xfId="0" applyBorder="1" applyAlignment="1">
      <alignment horizontal="center"/>
    </xf>
    <xf numFmtId="0" fontId="3" fillId="0" borderId="12" xfId="0" applyFont="1" applyBorder="1" applyAlignment="1">
      <alignment horizontal="left" vertical="center" wrapText="1" indent="1"/>
    </xf>
    <xf numFmtId="0" fontId="2" fillId="0" borderId="12" xfId="0" applyFont="1" applyBorder="1" applyAlignment="1">
      <alignment horizontal="left" vertical="center" wrapText="1" indent="1"/>
    </xf>
    <xf numFmtId="10" fontId="3" fillId="0" borderId="12" xfId="0" applyNumberFormat="1" applyFont="1" applyBorder="1" applyAlignment="1">
      <alignment horizontal="left" vertical="center" wrapText="1" indent="1"/>
    </xf>
    <xf numFmtId="0" fontId="4" fillId="0" borderId="12" xfId="0" applyFont="1" applyBorder="1" applyAlignment="1">
      <alignment horizontal="left" vertical="center" wrapText="1" indent="1"/>
    </xf>
    <xf numFmtId="10" fontId="2" fillId="0" borderId="12" xfId="0" applyNumberFormat="1" applyFont="1" applyBorder="1" applyAlignment="1">
      <alignment horizontal="left" vertical="center" wrapText="1" indent="1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8" fontId="0" fillId="0" borderId="6" xfId="0" applyNumberFormat="1" applyBorder="1"/>
    <xf numFmtId="0" fontId="0" fillId="0" borderId="13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Sheet1!$V$10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Sheet1!$W$10:$AA$10</c:f>
              <c:numCache>
                <c:formatCode>[$€-2]\ #,##0</c:formatCode>
                <c:ptCount val="5"/>
                <c:pt idx="0">
                  <c:v>-1.045463901234568E-2</c:v>
                </c:pt>
                <c:pt idx="1">
                  <c:v>-4215.3104497777786</c:v>
                </c:pt>
                <c:pt idx="2">
                  <c:v>-16861.241799111114</c:v>
                </c:pt>
                <c:pt idx="3">
                  <c:v>-219196.1433884445</c:v>
                </c:pt>
                <c:pt idx="4">
                  <c:v>-2191961.4338844451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9-4728-8AEE-5217B206F484}"/>
            </c:ext>
          </c:extLst>
        </c:ser>
        <c:ser>
          <c:idx val="1"/>
          <c:order val="1"/>
          <c:tx>
            <c:strRef>
              <c:f>Sheet1!$V$11</c:f>
              <c:strCache>
                <c:ptCount val="1"/>
                <c:pt idx="0">
                  <c:v>Hydrogen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Sheet1!$W$11:$AA$11</c:f>
              <c:numCache>
                <c:formatCode>[$€-2]\ #,##0</c:formatCode>
                <c:ptCount val="5"/>
                <c:pt idx="0">
                  <c:v>8.5321950617283978E-3</c:v>
                </c:pt>
                <c:pt idx="1">
                  <c:v>3440.18104888889</c:v>
                </c:pt>
                <c:pt idx="2">
                  <c:v>13760.72419555556</c:v>
                </c:pt>
                <c:pt idx="3">
                  <c:v>178889.41454222228</c:v>
                </c:pt>
                <c:pt idx="4">
                  <c:v>1788894.1454222228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A9-4728-8AEE-5217B206F484}"/>
            </c:ext>
          </c:extLst>
        </c:ser>
        <c:ser>
          <c:idx val="2"/>
          <c:order val="2"/>
          <c:tx>
            <c:strRef>
              <c:f>Sheet1!$V$12</c:f>
              <c:strCache>
                <c:ptCount val="1"/>
                <c:pt idx="0">
                  <c:v>Biomass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Sheet1!$W$12:$AA$12</c:f>
              <c:numCache>
                <c:formatCode>[$€-2]\ #,##0</c:formatCode>
                <c:ptCount val="5"/>
                <c:pt idx="0">
                  <c:v>5.1193170370370366E-3</c:v>
                </c:pt>
                <c:pt idx="1">
                  <c:v>2064.1086293333333</c:v>
                </c:pt>
                <c:pt idx="2">
                  <c:v>8256.4345173333331</c:v>
                </c:pt>
                <c:pt idx="3">
                  <c:v>107333.64872533333</c:v>
                </c:pt>
                <c:pt idx="4">
                  <c:v>1073336.4872533334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A9-4728-8AEE-5217B206F484}"/>
            </c:ext>
          </c:extLst>
        </c:ser>
        <c:ser>
          <c:idx val="3"/>
          <c:order val="3"/>
          <c:tx>
            <c:strRef>
              <c:f>Sheet1!$V$13</c:f>
              <c:strCache>
                <c:ptCount val="1"/>
                <c:pt idx="0">
                  <c:v>Iron Fuel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Sheet1!$W$13:$AA$13</c:f>
              <c:numCache>
                <c:formatCode>[$€-2]\ #,##0</c:formatCode>
                <c:ptCount val="5"/>
                <c:pt idx="0">
                  <c:v>-1.516354666666667E-2</c:v>
                </c:pt>
                <c:pt idx="1">
                  <c:v>-6113.9420160000009</c:v>
                </c:pt>
                <c:pt idx="2">
                  <c:v>-24455.768064000004</c:v>
                </c:pt>
                <c:pt idx="3">
                  <c:v>-317924.98483200005</c:v>
                </c:pt>
                <c:pt idx="4">
                  <c:v>-3179249.8483200003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A9-4728-8AEE-5217B206F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091679"/>
        <c:axId val="889090239"/>
      </c:lineChart>
      <c:catAx>
        <c:axId val="88909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090239"/>
        <c:crosses val="autoZero"/>
        <c:auto val="1"/>
        <c:lblAlgn val="ctr"/>
        <c:lblOffset val="100"/>
        <c:noMultiLvlLbl val="0"/>
      </c:catAx>
      <c:valAx>
        <c:axId val="88909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09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4"/>
          <c:order val="4"/>
          <c:tx>
            <c:v>Natural Gas Emissions (ton)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Sheet1!$Q$36:$BY$36</c:f>
              <c:numCache>
                <c:formatCode>General</c:formatCode>
                <c:ptCount val="61"/>
                <c:pt idx="0" formatCode="0">
                  <c:v>58.693843353600002</c:v>
                </c:pt>
                <c:pt idx="1">
                  <c:v>234.77537341440001</c:v>
                </c:pt>
                <c:pt idx="2">
                  <c:v>469.55074682880002</c:v>
                </c:pt>
                <c:pt idx="3">
                  <c:v>704.32612024319997</c:v>
                </c:pt>
                <c:pt idx="4">
                  <c:v>939.10149365760003</c:v>
                </c:pt>
                <c:pt idx="5">
                  <c:v>1173.8768670720001</c:v>
                </c:pt>
                <c:pt idx="6">
                  <c:v>1408.6522404863999</c:v>
                </c:pt>
                <c:pt idx="7">
                  <c:v>1643.4276139008</c:v>
                </c:pt>
                <c:pt idx="8">
                  <c:v>1878.2029873152001</c:v>
                </c:pt>
                <c:pt idx="9">
                  <c:v>2112.9783607295999</c:v>
                </c:pt>
                <c:pt idx="10">
                  <c:v>2347.7537341440002</c:v>
                </c:pt>
                <c:pt idx="11">
                  <c:v>2582.5291075584</c:v>
                </c:pt>
                <c:pt idx="12">
                  <c:v>2817.3044809727999</c:v>
                </c:pt>
                <c:pt idx="13">
                  <c:v>3052.0798543872002</c:v>
                </c:pt>
                <c:pt idx="14">
                  <c:v>3286.8552278016</c:v>
                </c:pt>
                <c:pt idx="15">
                  <c:v>3521.6306012160003</c:v>
                </c:pt>
                <c:pt idx="16">
                  <c:v>3756.4059746304001</c:v>
                </c:pt>
                <c:pt idx="17">
                  <c:v>3991.1813480448</c:v>
                </c:pt>
                <c:pt idx="18">
                  <c:v>4225.9567214591998</c:v>
                </c:pt>
                <c:pt idx="19">
                  <c:v>4460.7320948736005</c:v>
                </c:pt>
                <c:pt idx="20">
                  <c:v>4695.5074682880004</c:v>
                </c:pt>
                <c:pt idx="21">
                  <c:v>4930.2828417024002</c:v>
                </c:pt>
                <c:pt idx="22">
                  <c:v>5165.0582151168001</c:v>
                </c:pt>
                <c:pt idx="23">
                  <c:v>5399.8335885311999</c:v>
                </c:pt>
                <c:pt idx="24">
                  <c:v>5634.6089619455997</c:v>
                </c:pt>
                <c:pt idx="25">
                  <c:v>5869.3843353600005</c:v>
                </c:pt>
                <c:pt idx="26">
                  <c:v>6104.1597087744003</c:v>
                </c:pt>
                <c:pt idx="27">
                  <c:v>6338.9350821888002</c:v>
                </c:pt>
                <c:pt idx="28">
                  <c:v>6573.7104556032</c:v>
                </c:pt>
                <c:pt idx="29">
                  <c:v>6808.4858290175998</c:v>
                </c:pt>
                <c:pt idx="30">
                  <c:v>7043.2612024320006</c:v>
                </c:pt>
                <c:pt idx="31">
                  <c:v>7278.0365758464004</c:v>
                </c:pt>
                <c:pt idx="32">
                  <c:v>7512.8119492608002</c:v>
                </c:pt>
                <c:pt idx="33">
                  <c:v>7747.5873226752001</c:v>
                </c:pt>
                <c:pt idx="34">
                  <c:v>7982.3626960895999</c:v>
                </c:pt>
                <c:pt idx="35">
                  <c:v>8217.1380695040007</c:v>
                </c:pt>
                <c:pt idx="36">
                  <c:v>8451.9134429183996</c:v>
                </c:pt>
                <c:pt idx="37">
                  <c:v>8686.6888163328003</c:v>
                </c:pt>
                <c:pt idx="38">
                  <c:v>8921.4641897472011</c:v>
                </c:pt>
                <c:pt idx="39">
                  <c:v>9156.2395631616</c:v>
                </c:pt>
                <c:pt idx="40">
                  <c:v>9391.0149365760008</c:v>
                </c:pt>
                <c:pt idx="41">
                  <c:v>9625.7903099903997</c:v>
                </c:pt>
                <c:pt idx="42">
                  <c:v>9860.5656834048004</c:v>
                </c:pt>
                <c:pt idx="43">
                  <c:v>10095.341056819201</c:v>
                </c:pt>
                <c:pt idx="44">
                  <c:v>10330.1164302336</c:v>
                </c:pt>
                <c:pt idx="45">
                  <c:v>10564.891803648001</c:v>
                </c:pt>
                <c:pt idx="46">
                  <c:v>10799.6671770624</c:v>
                </c:pt>
                <c:pt idx="47">
                  <c:v>11034.442550476801</c:v>
                </c:pt>
                <c:pt idx="48">
                  <c:v>11269.217923891199</c:v>
                </c:pt>
                <c:pt idx="49">
                  <c:v>11503.9932973056</c:v>
                </c:pt>
                <c:pt idx="50">
                  <c:v>11738.768670720001</c:v>
                </c:pt>
                <c:pt idx="51">
                  <c:v>11973.5440441344</c:v>
                </c:pt>
                <c:pt idx="52">
                  <c:v>12208.319417548801</c:v>
                </c:pt>
                <c:pt idx="53">
                  <c:v>12443.0947909632</c:v>
                </c:pt>
                <c:pt idx="54">
                  <c:v>12677.8701643776</c:v>
                </c:pt>
                <c:pt idx="55">
                  <c:v>12912.645537792001</c:v>
                </c:pt>
                <c:pt idx="56">
                  <c:v>13147.4209112064</c:v>
                </c:pt>
                <c:pt idx="57">
                  <c:v>13382.196284620801</c:v>
                </c:pt>
                <c:pt idx="58">
                  <c:v>13616.9716580352</c:v>
                </c:pt>
                <c:pt idx="59">
                  <c:v>13851.7470314496</c:v>
                </c:pt>
                <c:pt idx="60">
                  <c:v>14086.522404864001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F1-4E78-AFAA-C3301C38FB8B}"/>
            </c:ext>
          </c:extLst>
        </c:ser>
        <c:ser>
          <c:idx val="6"/>
          <c:order val="5"/>
          <c:tx>
            <c:v>Hydrogen Emisions (ton)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Sheet1!$Q$38:$BY$38</c:f>
              <c:numCache>
                <c:formatCode>General</c:formatCode>
                <c:ptCount val="61"/>
                <c:pt idx="0" formatCode="0">
                  <c:v>9.0298220544000003</c:v>
                </c:pt>
                <c:pt idx="1">
                  <c:v>36.119288217600001</c:v>
                </c:pt>
                <c:pt idx="2">
                  <c:v>72.238576435200002</c:v>
                </c:pt>
                <c:pt idx="3">
                  <c:v>108.3578646528</c:v>
                </c:pt>
                <c:pt idx="4">
                  <c:v>144.4771528704</c:v>
                </c:pt>
                <c:pt idx="5">
                  <c:v>180.59644108800001</c:v>
                </c:pt>
                <c:pt idx="6">
                  <c:v>216.71572930560001</c:v>
                </c:pt>
                <c:pt idx="7">
                  <c:v>252.83501752320001</c:v>
                </c:pt>
                <c:pt idx="8">
                  <c:v>288.95430574080001</c:v>
                </c:pt>
                <c:pt idx="9">
                  <c:v>325.07359395840001</c:v>
                </c:pt>
                <c:pt idx="10">
                  <c:v>361.19288217600001</c:v>
                </c:pt>
                <c:pt idx="11">
                  <c:v>397.31217039360001</c:v>
                </c:pt>
                <c:pt idx="12">
                  <c:v>433.43145861120001</c:v>
                </c:pt>
                <c:pt idx="13">
                  <c:v>469.55074682880002</c:v>
                </c:pt>
                <c:pt idx="14">
                  <c:v>505.67003504640002</c:v>
                </c:pt>
                <c:pt idx="15">
                  <c:v>541.78932326400002</c:v>
                </c:pt>
                <c:pt idx="16">
                  <c:v>577.90861148160002</c:v>
                </c:pt>
                <c:pt idx="17">
                  <c:v>614.02789969920002</c:v>
                </c:pt>
                <c:pt idx="18">
                  <c:v>650.14718791680002</c:v>
                </c:pt>
                <c:pt idx="19">
                  <c:v>686.26647613440002</c:v>
                </c:pt>
                <c:pt idx="20">
                  <c:v>722.38576435200002</c:v>
                </c:pt>
                <c:pt idx="21">
                  <c:v>758.50505256960002</c:v>
                </c:pt>
                <c:pt idx="22">
                  <c:v>794.62434078720003</c:v>
                </c:pt>
                <c:pt idx="23">
                  <c:v>830.74362900480003</c:v>
                </c:pt>
                <c:pt idx="24">
                  <c:v>866.86291722240003</c:v>
                </c:pt>
                <c:pt idx="25">
                  <c:v>902.98220544000003</c:v>
                </c:pt>
                <c:pt idx="26">
                  <c:v>939.10149365760003</c:v>
                </c:pt>
                <c:pt idx="27">
                  <c:v>975.22078187520003</c:v>
                </c:pt>
                <c:pt idx="28">
                  <c:v>1011.3400700928</c:v>
                </c:pt>
                <c:pt idx="29">
                  <c:v>1047.4593583104001</c:v>
                </c:pt>
                <c:pt idx="30">
                  <c:v>1083.578646528</c:v>
                </c:pt>
                <c:pt idx="31">
                  <c:v>1119.6979347455999</c:v>
                </c:pt>
                <c:pt idx="32">
                  <c:v>1155.8172229632</c:v>
                </c:pt>
                <c:pt idx="33">
                  <c:v>1191.9365111808002</c:v>
                </c:pt>
                <c:pt idx="34">
                  <c:v>1228.0557993984</c:v>
                </c:pt>
                <c:pt idx="35">
                  <c:v>1264.1750876159999</c:v>
                </c:pt>
                <c:pt idx="36">
                  <c:v>1300.2943758336</c:v>
                </c:pt>
                <c:pt idx="37">
                  <c:v>1336.4136640512002</c:v>
                </c:pt>
                <c:pt idx="38">
                  <c:v>1372.5329522688</c:v>
                </c:pt>
                <c:pt idx="39">
                  <c:v>1408.6522404863999</c:v>
                </c:pt>
                <c:pt idx="40">
                  <c:v>1444.771528704</c:v>
                </c:pt>
                <c:pt idx="41">
                  <c:v>1480.8908169216002</c:v>
                </c:pt>
                <c:pt idx="42">
                  <c:v>1517.0101051392</c:v>
                </c:pt>
                <c:pt idx="43">
                  <c:v>1553.1293933567999</c:v>
                </c:pt>
                <c:pt idx="44">
                  <c:v>1589.2486815744001</c:v>
                </c:pt>
                <c:pt idx="45">
                  <c:v>1625.3679697920002</c:v>
                </c:pt>
                <c:pt idx="46">
                  <c:v>1661.4872580096001</c:v>
                </c:pt>
                <c:pt idx="47">
                  <c:v>1697.6065462271999</c:v>
                </c:pt>
                <c:pt idx="48">
                  <c:v>1733.7258344448001</c:v>
                </c:pt>
                <c:pt idx="49">
                  <c:v>1769.8451226624002</c:v>
                </c:pt>
                <c:pt idx="50">
                  <c:v>1805.9644108800001</c:v>
                </c:pt>
                <c:pt idx="51">
                  <c:v>1842.0836990975999</c:v>
                </c:pt>
                <c:pt idx="52">
                  <c:v>1878.2029873152001</c:v>
                </c:pt>
                <c:pt idx="53">
                  <c:v>1914.3222755328002</c:v>
                </c:pt>
                <c:pt idx="54">
                  <c:v>1950.4415637504001</c:v>
                </c:pt>
                <c:pt idx="55">
                  <c:v>1986.560851968</c:v>
                </c:pt>
                <c:pt idx="56">
                  <c:v>2022.6801401856001</c:v>
                </c:pt>
                <c:pt idx="57">
                  <c:v>2058.7994284032002</c:v>
                </c:pt>
                <c:pt idx="58">
                  <c:v>2094.9187166208003</c:v>
                </c:pt>
                <c:pt idx="59">
                  <c:v>2131.0380048384</c:v>
                </c:pt>
                <c:pt idx="60">
                  <c:v>2167.1572930560001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F1-4E78-AFAA-C3301C38F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125369647"/>
        <c:axId val="2125373007"/>
      </c:barChart>
      <c:lineChart>
        <c:grouping val="standard"/>
        <c:varyColors val="0"/>
        <c:ser>
          <c:idx val="0"/>
          <c:order val="0"/>
          <c:tx>
            <c:v>Electricty Savings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Sheet1!$Q$31:$BY$31</c:f>
              <c:numCache>
                <c:formatCode>General</c:formatCode>
                <c:ptCount val="61"/>
                <c:pt idx="0">
                  <c:v>-16861.241799111114</c:v>
                </c:pt>
                <c:pt idx="1">
                  <c:v>-67444.967196444457</c:v>
                </c:pt>
                <c:pt idx="2">
                  <c:v>-134889.93439288891</c:v>
                </c:pt>
                <c:pt idx="3">
                  <c:v>-202334.90158933337</c:v>
                </c:pt>
                <c:pt idx="4">
                  <c:v>-269779.86878577783</c:v>
                </c:pt>
                <c:pt idx="5">
                  <c:v>-337224.83598222228</c:v>
                </c:pt>
                <c:pt idx="6">
                  <c:v>-404669.80317866674</c:v>
                </c:pt>
                <c:pt idx="7">
                  <c:v>-472114.7703751112</c:v>
                </c:pt>
                <c:pt idx="8">
                  <c:v>-539559.73757155566</c:v>
                </c:pt>
                <c:pt idx="9">
                  <c:v>-607004.70476800017</c:v>
                </c:pt>
                <c:pt idx="10">
                  <c:v>-674449.67196444457</c:v>
                </c:pt>
                <c:pt idx="11">
                  <c:v>-741894.63916088897</c:v>
                </c:pt>
                <c:pt idx="12">
                  <c:v>-809339.60635733348</c:v>
                </c:pt>
                <c:pt idx="13">
                  <c:v>-876784.573553778</c:v>
                </c:pt>
                <c:pt idx="14">
                  <c:v>-944229.5407502224</c:v>
                </c:pt>
                <c:pt idx="15">
                  <c:v>-1011674.5079466668</c:v>
                </c:pt>
                <c:pt idx="16">
                  <c:v>-1079119.4751431113</c:v>
                </c:pt>
                <c:pt idx="17">
                  <c:v>-1146564.4423395558</c:v>
                </c:pt>
                <c:pt idx="18">
                  <c:v>-1214009.4095360003</c:v>
                </c:pt>
                <c:pt idx="19">
                  <c:v>-1281454.3767324446</c:v>
                </c:pt>
                <c:pt idx="20">
                  <c:v>-1348899.3439288891</c:v>
                </c:pt>
                <c:pt idx="21">
                  <c:v>-1416344.3111253337</c:v>
                </c:pt>
                <c:pt idx="22">
                  <c:v>-1483789.2783217779</c:v>
                </c:pt>
                <c:pt idx="23">
                  <c:v>-1551234.2455182225</c:v>
                </c:pt>
                <c:pt idx="24">
                  <c:v>-1618679.212714667</c:v>
                </c:pt>
                <c:pt idx="25">
                  <c:v>-1686124.1799111115</c:v>
                </c:pt>
                <c:pt idx="26">
                  <c:v>-1753569.147107556</c:v>
                </c:pt>
                <c:pt idx="27">
                  <c:v>-1821014.1143040003</c:v>
                </c:pt>
                <c:pt idx="28">
                  <c:v>-1888459.0815004448</c:v>
                </c:pt>
                <c:pt idx="29">
                  <c:v>-1955904.0486968893</c:v>
                </c:pt>
                <c:pt idx="30">
                  <c:v>-2023349.0158933336</c:v>
                </c:pt>
                <c:pt idx="31">
                  <c:v>-2090793.9830897781</c:v>
                </c:pt>
                <c:pt idx="32">
                  <c:v>-2158238.9502862226</c:v>
                </c:pt>
                <c:pt idx="33">
                  <c:v>-2225683.9174826671</c:v>
                </c:pt>
                <c:pt idx="34">
                  <c:v>-2293128.8846791117</c:v>
                </c:pt>
                <c:pt idx="35">
                  <c:v>-2360573.8518755562</c:v>
                </c:pt>
                <c:pt idx="36">
                  <c:v>-2428018.8190720007</c:v>
                </c:pt>
                <c:pt idx="37">
                  <c:v>-2495463.7862684447</c:v>
                </c:pt>
                <c:pt idx="38">
                  <c:v>-2562908.7534648892</c:v>
                </c:pt>
                <c:pt idx="39">
                  <c:v>-2630353.7206613338</c:v>
                </c:pt>
                <c:pt idx="40">
                  <c:v>-2697798.6878577783</c:v>
                </c:pt>
                <c:pt idx="41">
                  <c:v>-2765243.6550542228</c:v>
                </c:pt>
                <c:pt idx="42">
                  <c:v>-2832688.6222506673</c:v>
                </c:pt>
                <c:pt idx="43">
                  <c:v>-2900133.5894471118</c:v>
                </c:pt>
                <c:pt idx="44">
                  <c:v>-2967578.5566435559</c:v>
                </c:pt>
                <c:pt idx="45">
                  <c:v>-3035023.5238400004</c:v>
                </c:pt>
                <c:pt idx="46">
                  <c:v>-3102468.4910364449</c:v>
                </c:pt>
                <c:pt idx="47">
                  <c:v>-3169913.4582328894</c:v>
                </c:pt>
                <c:pt idx="48">
                  <c:v>-3237358.4254293339</c:v>
                </c:pt>
                <c:pt idx="49">
                  <c:v>-3304803.3926257784</c:v>
                </c:pt>
                <c:pt idx="50">
                  <c:v>-3372248.359822223</c:v>
                </c:pt>
                <c:pt idx="51">
                  <c:v>-3439693.3270186675</c:v>
                </c:pt>
                <c:pt idx="52">
                  <c:v>-3507138.294215112</c:v>
                </c:pt>
                <c:pt idx="53">
                  <c:v>-3574583.261411556</c:v>
                </c:pt>
                <c:pt idx="54">
                  <c:v>-3642028.2286080006</c:v>
                </c:pt>
                <c:pt idx="55">
                  <c:v>-3709473.1958044451</c:v>
                </c:pt>
                <c:pt idx="56">
                  <c:v>-3776918.1630008896</c:v>
                </c:pt>
                <c:pt idx="57">
                  <c:v>-3844363.1301973341</c:v>
                </c:pt>
                <c:pt idx="58">
                  <c:v>-3911808.0973937786</c:v>
                </c:pt>
                <c:pt idx="59">
                  <c:v>-3979253.0645902231</c:v>
                </c:pt>
                <c:pt idx="60">
                  <c:v>-4046698.0317866672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F1-4E78-AFAA-C3301C38FB8B}"/>
            </c:ext>
          </c:extLst>
        </c:ser>
        <c:ser>
          <c:idx val="1"/>
          <c:order val="1"/>
          <c:tx>
            <c:v>Hydrogen Savings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Sheet1!$Q$32:$BY$32</c:f>
              <c:numCache>
                <c:formatCode>General</c:formatCode>
                <c:ptCount val="61"/>
                <c:pt idx="0">
                  <c:v>13760.72419555556</c:v>
                </c:pt>
                <c:pt idx="1">
                  <c:v>55042.89678222224</c:v>
                </c:pt>
                <c:pt idx="2">
                  <c:v>110085.79356444448</c:v>
                </c:pt>
                <c:pt idx="3">
                  <c:v>165128.69034666673</c:v>
                </c:pt>
                <c:pt idx="4">
                  <c:v>220171.58712888896</c:v>
                </c:pt>
                <c:pt idx="5">
                  <c:v>275214.48391111119</c:v>
                </c:pt>
                <c:pt idx="6">
                  <c:v>330257.38069333346</c:v>
                </c:pt>
                <c:pt idx="7">
                  <c:v>385300.27747555566</c:v>
                </c:pt>
                <c:pt idx="8">
                  <c:v>440343.17425777792</c:v>
                </c:pt>
                <c:pt idx="9">
                  <c:v>495386.07104000018</c:v>
                </c:pt>
                <c:pt idx="10">
                  <c:v>550428.96782222239</c:v>
                </c:pt>
                <c:pt idx="11">
                  <c:v>605471.86460444459</c:v>
                </c:pt>
                <c:pt idx="12">
                  <c:v>660514.76138666691</c:v>
                </c:pt>
                <c:pt idx="13">
                  <c:v>715557.65816888912</c:v>
                </c:pt>
                <c:pt idx="14">
                  <c:v>770600.55495111132</c:v>
                </c:pt>
                <c:pt idx="15">
                  <c:v>825643.45173333364</c:v>
                </c:pt>
                <c:pt idx="16">
                  <c:v>880686.34851555584</c:v>
                </c:pt>
                <c:pt idx="17">
                  <c:v>935729.24529777805</c:v>
                </c:pt>
                <c:pt idx="18">
                  <c:v>990772.14208000037</c:v>
                </c:pt>
                <c:pt idx="19">
                  <c:v>1045815.0388622226</c:v>
                </c:pt>
                <c:pt idx="20">
                  <c:v>1100857.9356444448</c:v>
                </c:pt>
                <c:pt idx="21">
                  <c:v>1155900.832426667</c:v>
                </c:pt>
                <c:pt idx="22">
                  <c:v>1210943.7292088892</c:v>
                </c:pt>
                <c:pt idx="23">
                  <c:v>1265986.6259911116</c:v>
                </c:pt>
                <c:pt idx="24">
                  <c:v>1321029.5227733338</c:v>
                </c:pt>
                <c:pt idx="25">
                  <c:v>1376072.419555556</c:v>
                </c:pt>
                <c:pt idx="26">
                  <c:v>1431115.3163377782</c:v>
                </c:pt>
                <c:pt idx="27">
                  <c:v>1486158.2131200004</c:v>
                </c:pt>
                <c:pt idx="28">
                  <c:v>1541201.1099022226</c:v>
                </c:pt>
                <c:pt idx="29">
                  <c:v>1596244.0066844451</c:v>
                </c:pt>
                <c:pt idx="30">
                  <c:v>1651286.9034666673</c:v>
                </c:pt>
                <c:pt idx="31">
                  <c:v>1706329.8002488895</c:v>
                </c:pt>
                <c:pt idx="32">
                  <c:v>1761372.6970311117</c:v>
                </c:pt>
                <c:pt idx="33">
                  <c:v>1816415.5938133339</c:v>
                </c:pt>
                <c:pt idx="34">
                  <c:v>1871458.4905955561</c:v>
                </c:pt>
                <c:pt idx="35">
                  <c:v>1926501.3873777783</c:v>
                </c:pt>
                <c:pt idx="36">
                  <c:v>1981544.2841600007</c:v>
                </c:pt>
                <c:pt idx="37">
                  <c:v>2036587.1809422229</c:v>
                </c:pt>
                <c:pt idx="38">
                  <c:v>2091630.0777244451</c:v>
                </c:pt>
                <c:pt idx="39">
                  <c:v>2146672.9745066673</c:v>
                </c:pt>
                <c:pt idx="40">
                  <c:v>2201715.8712888896</c:v>
                </c:pt>
                <c:pt idx="41">
                  <c:v>2256758.7680711118</c:v>
                </c:pt>
                <c:pt idx="42">
                  <c:v>2311801.664853334</c:v>
                </c:pt>
                <c:pt idx="43">
                  <c:v>2366844.5616355562</c:v>
                </c:pt>
                <c:pt idx="44">
                  <c:v>2421887.4584177784</c:v>
                </c:pt>
                <c:pt idx="45">
                  <c:v>2476930.355200001</c:v>
                </c:pt>
                <c:pt idx="46">
                  <c:v>2531973.2519822232</c:v>
                </c:pt>
                <c:pt idx="47">
                  <c:v>2587016.1487644454</c:v>
                </c:pt>
                <c:pt idx="48">
                  <c:v>2642059.0455466677</c:v>
                </c:pt>
                <c:pt idx="49">
                  <c:v>2697101.9423288899</c:v>
                </c:pt>
                <c:pt idx="50">
                  <c:v>2752144.8391111121</c:v>
                </c:pt>
                <c:pt idx="51">
                  <c:v>2807187.7358933343</c:v>
                </c:pt>
                <c:pt idx="52">
                  <c:v>2862230.6326755565</c:v>
                </c:pt>
                <c:pt idx="53">
                  <c:v>2917273.5294577787</c:v>
                </c:pt>
                <c:pt idx="54">
                  <c:v>2972316.4262400009</c:v>
                </c:pt>
                <c:pt idx="55">
                  <c:v>3027359.3230222231</c:v>
                </c:pt>
                <c:pt idx="56">
                  <c:v>3082402.2198044453</c:v>
                </c:pt>
                <c:pt idx="57">
                  <c:v>3137445.1165866675</c:v>
                </c:pt>
                <c:pt idx="58">
                  <c:v>3192488.0133688902</c:v>
                </c:pt>
                <c:pt idx="59">
                  <c:v>3247530.9101511124</c:v>
                </c:pt>
                <c:pt idx="60">
                  <c:v>3302573.8069333346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F1-4E78-AFAA-C3301C38FB8B}"/>
            </c:ext>
          </c:extLst>
        </c:ser>
        <c:ser>
          <c:idx val="2"/>
          <c:order val="2"/>
          <c:tx>
            <c:v>Biomass Savings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Sheet1!$Q$33:$BY$33</c:f>
              <c:numCache>
                <c:formatCode>General</c:formatCode>
                <c:ptCount val="61"/>
                <c:pt idx="0">
                  <c:v>8256.4345173333331</c:v>
                </c:pt>
                <c:pt idx="1">
                  <c:v>33025.738069333333</c:v>
                </c:pt>
                <c:pt idx="2">
                  <c:v>66051.476138666665</c:v>
                </c:pt>
                <c:pt idx="3">
                  <c:v>99077.21420799999</c:v>
                </c:pt>
                <c:pt idx="4">
                  <c:v>132102.95227733333</c:v>
                </c:pt>
                <c:pt idx="5">
                  <c:v>165128.69034666667</c:v>
                </c:pt>
                <c:pt idx="6">
                  <c:v>198154.42841599998</c:v>
                </c:pt>
                <c:pt idx="7">
                  <c:v>231180.16648533332</c:v>
                </c:pt>
                <c:pt idx="8">
                  <c:v>264205.90455466666</c:v>
                </c:pt>
                <c:pt idx="9">
                  <c:v>297231.64262399997</c:v>
                </c:pt>
                <c:pt idx="10">
                  <c:v>330257.38069333334</c:v>
                </c:pt>
                <c:pt idx="11">
                  <c:v>363283.11876266665</c:v>
                </c:pt>
                <c:pt idx="12">
                  <c:v>396308.85683199996</c:v>
                </c:pt>
                <c:pt idx="13">
                  <c:v>429334.59490133333</c:v>
                </c:pt>
                <c:pt idx="14">
                  <c:v>462360.33297066664</c:v>
                </c:pt>
                <c:pt idx="15">
                  <c:v>495386.07104000001</c:v>
                </c:pt>
                <c:pt idx="16">
                  <c:v>528411.80910933332</c:v>
                </c:pt>
                <c:pt idx="17">
                  <c:v>561437.54717866669</c:v>
                </c:pt>
                <c:pt idx="18">
                  <c:v>594463.28524799994</c:v>
                </c:pt>
                <c:pt idx="19">
                  <c:v>627489.02331733331</c:v>
                </c:pt>
                <c:pt idx="20">
                  <c:v>660514.76138666668</c:v>
                </c:pt>
                <c:pt idx="21">
                  <c:v>693540.49945599993</c:v>
                </c:pt>
                <c:pt idx="22">
                  <c:v>726566.2375253333</c:v>
                </c:pt>
                <c:pt idx="23">
                  <c:v>759591.97559466667</c:v>
                </c:pt>
                <c:pt idx="24">
                  <c:v>792617.71366399992</c:v>
                </c:pt>
                <c:pt idx="25">
                  <c:v>825643.45173333329</c:v>
                </c:pt>
                <c:pt idx="26">
                  <c:v>858669.18980266666</c:v>
                </c:pt>
                <c:pt idx="27">
                  <c:v>891694.92787200003</c:v>
                </c:pt>
                <c:pt idx="28">
                  <c:v>924720.66594133328</c:v>
                </c:pt>
                <c:pt idx="29">
                  <c:v>957746.40401066665</c:v>
                </c:pt>
                <c:pt idx="30">
                  <c:v>990772.14208000002</c:v>
                </c:pt>
                <c:pt idx="31">
                  <c:v>1023797.8801493333</c:v>
                </c:pt>
                <c:pt idx="32">
                  <c:v>1056823.6182186666</c:v>
                </c:pt>
                <c:pt idx="33">
                  <c:v>1089849.356288</c:v>
                </c:pt>
                <c:pt idx="34">
                  <c:v>1122875.0943573334</c:v>
                </c:pt>
                <c:pt idx="35">
                  <c:v>1155900.8324266667</c:v>
                </c:pt>
                <c:pt idx="36">
                  <c:v>1188926.5704959999</c:v>
                </c:pt>
                <c:pt idx="37">
                  <c:v>1221952.3085653333</c:v>
                </c:pt>
                <c:pt idx="38">
                  <c:v>1254978.0466346666</c:v>
                </c:pt>
                <c:pt idx="39">
                  <c:v>1288003.784704</c:v>
                </c:pt>
                <c:pt idx="40">
                  <c:v>1321029.5227733334</c:v>
                </c:pt>
                <c:pt idx="41">
                  <c:v>1354055.2608426667</c:v>
                </c:pt>
                <c:pt idx="42">
                  <c:v>1387080.9989119999</c:v>
                </c:pt>
                <c:pt idx="43">
                  <c:v>1420106.7369813332</c:v>
                </c:pt>
                <c:pt idx="44">
                  <c:v>1453132.4750506666</c:v>
                </c:pt>
                <c:pt idx="45">
                  <c:v>1486158.21312</c:v>
                </c:pt>
                <c:pt idx="46">
                  <c:v>1519183.9511893333</c:v>
                </c:pt>
                <c:pt idx="47">
                  <c:v>1552209.6892586667</c:v>
                </c:pt>
                <c:pt idx="48">
                  <c:v>1585235.4273279998</c:v>
                </c:pt>
                <c:pt idx="49">
                  <c:v>1618261.1653973332</c:v>
                </c:pt>
                <c:pt idx="50">
                  <c:v>1651286.9034666666</c:v>
                </c:pt>
                <c:pt idx="51">
                  <c:v>1684312.641536</c:v>
                </c:pt>
                <c:pt idx="52">
                  <c:v>1717338.3796053333</c:v>
                </c:pt>
                <c:pt idx="53">
                  <c:v>1750364.1176746667</c:v>
                </c:pt>
                <c:pt idx="54">
                  <c:v>1783389.8557440001</c:v>
                </c:pt>
                <c:pt idx="55">
                  <c:v>1816415.5938133332</c:v>
                </c:pt>
                <c:pt idx="56">
                  <c:v>1849441.3318826666</c:v>
                </c:pt>
                <c:pt idx="57">
                  <c:v>1882467.0699519999</c:v>
                </c:pt>
                <c:pt idx="58">
                  <c:v>1915492.8080213333</c:v>
                </c:pt>
                <c:pt idx="59">
                  <c:v>1948518.5460906667</c:v>
                </c:pt>
                <c:pt idx="60">
                  <c:v>1981544.28416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F1-4E78-AFAA-C3301C38FB8B}"/>
            </c:ext>
          </c:extLst>
        </c:ser>
        <c:ser>
          <c:idx val="3"/>
          <c:order val="3"/>
          <c:tx>
            <c:v>Iron Fuel Savings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Sheet1!$Q$34:$BY$34</c:f>
              <c:numCache>
                <c:formatCode>General</c:formatCode>
                <c:ptCount val="61"/>
                <c:pt idx="0">
                  <c:v>-24455.768064000004</c:v>
                </c:pt>
                <c:pt idx="1">
                  <c:v>-97823.072256000014</c:v>
                </c:pt>
                <c:pt idx="2">
                  <c:v>-195646.14451200003</c:v>
                </c:pt>
                <c:pt idx="3">
                  <c:v>-293469.21676800004</c:v>
                </c:pt>
                <c:pt idx="4">
                  <c:v>-391292.28902400006</c:v>
                </c:pt>
                <c:pt idx="5">
                  <c:v>-489115.36128000007</c:v>
                </c:pt>
                <c:pt idx="6">
                  <c:v>-586938.43353600008</c:v>
                </c:pt>
                <c:pt idx="7">
                  <c:v>-684761.5057920001</c:v>
                </c:pt>
                <c:pt idx="8">
                  <c:v>-782584.57804800011</c:v>
                </c:pt>
                <c:pt idx="9">
                  <c:v>-880407.65030400013</c:v>
                </c:pt>
                <c:pt idx="10">
                  <c:v>-978230.72256000014</c:v>
                </c:pt>
                <c:pt idx="11">
                  <c:v>-1076053.7948160002</c:v>
                </c:pt>
                <c:pt idx="12">
                  <c:v>-1173876.8670720002</c:v>
                </c:pt>
                <c:pt idx="13">
                  <c:v>-1271699.9393280002</c:v>
                </c:pt>
                <c:pt idx="14">
                  <c:v>-1369523.0115840002</c:v>
                </c:pt>
                <c:pt idx="15">
                  <c:v>-1467346.0838400002</c:v>
                </c:pt>
                <c:pt idx="16">
                  <c:v>-1565169.1560960002</c:v>
                </c:pt>
                <c:pt idx="17">
                  <c:v>-1662992.2283520002</c:v>
                </c:pt>
                <c:pt idx="18">
                  <c:v>-1760815.3006080003</c:v>
                </c:pt>
                <c:pt idx="19">
                  <c:v>-1858638.3728640003</c:v>
                </c:pt>
                <c:pt idx="20">
                  <c:v>-1956461.4451200003</c:v>
                </c:pt>
                <c:pt idx="21">
                  <c:v>-2054284.5173760003</c:v>
                </c:pt>
                <c:pt idx="22">
                  <c:v>-2152107.5896320003</c:v>
                </c:pt>
                <c:pt idx="23">
                  <c:v>-2249930.6618880006</c:v>
                </c:pt>
                <c:pt idx="24">
                  <c:v>-2347753.7341440003</c:v>
                </c:pt>
                <c:pt idx="25">
                  <c:v>-2445576.8064000001</c:v>
                </c:pt>
                <c:pt idx="26">
                  <c:v>-2543399.8786560004</c:v>
                </c:pt>
                <c:pt idx="27">
                  <c:v>-2641222.9509120006</c:v>
                </c:pt>
                <c:pt idx="28">
                  <c:v>-2739046.0231680004</c:v>
                </c:pt>
                <c:pt idx="29">
                  <c:v>-2836869.0954240002</c:v>
                </c:pt>
                <c:pt idx="30">
                  <c:v>-2934692.1676800004</c:v>
                </c:pt>
                <c:pt idx="31">
                  <c:v>-3032515.2399360007</c:v>
                </c:pt>
                <c:pt idx="32">
                  <c:v>-3130338.3121920004</c:v>
                </c:pt>
                <c:pt idx="33">
                  <c:v>-3228161.3844480002</c:v>
                </c:pt>
                <c:pt idx="34">
                  <c:v>-3325984.4567040005</c:v>
                </c:pt>
                <c:pt idx="35">
                  <c:v>-3423807.5289600007</c:v>
                </c:pt>
                <c:pt idx="36">
                  <c:v>-3521630.6012160005</c:v>
                </c:pt>
                <c:pt idx="37">
                  <c:v>-3619453.6734720003</c:v>
                </c:pt>
                <c:pt idx="38">
                  <c:v>-3717276.7457280005</c:v>
                </c:pt>
                <c:pt idx="39">
                  <c:v>-3815099.8179840008</c:v>
                </c:pt>
                <c:pt idx="40">
                  <c:v>-3912922.8902400006</c:v>
                </c:pt>
                <c:pt idx="41">
                  <c:v>-4010745.9624960003</c:v>
                </c:pt>
                <c:pt idx="42">
                  <c:v>-4108569.0347520006</c:v>
                </c:pt>
                <c:pt idx="43">
                  <c:v>-4206392.1070080008</c:v>
                </c:pt>
                <c:pt idx="44">
                  <c:v>-4304215.1792640006</c:v>
                </c:pt>
                <c:pt idx="45">
                  <c:v>-4402038.2515200004</c:v>
                </c:pt>
                <c:pt idx="46">
                  <c:v>-4499861.3237760011</c:v>
                </c:pt>
                <c:pt idx="47">
                  <c:v>-4597684.3960320009</c:v>
                </c:pt>
                <c:pt idx="48">
                  <c:v>-4695507.4682880007</c:v>
                </c:pt>
                <c:pt idx="49">
                  <c:v>-4793330.5405440005</c:v>
                </c:pt>
                <c:pt idx="50">
                  <c:v>-4891153.6128000002</c:v>
                </c:pt>
                <c:pt idx="51">
                  <c:v>-4988976.6850560009</c:v>
                </c:pt>
                <c:pt idx="52">
                  <c:v>-5086799.7573120007</c:v>
                </c:pt>
                <c:pt idx="53">
                  <c:v>-5184622.8295680005</c:v>
                </c:pt>
                <c:pt idx="54">
                  <c:v>-5282445.9018240012</c:v>
                </c:pt>
                <c:pt idx="55">
                  <c:v>-5380268.974080001</c:v>
                </c:pt>
                <c:pt idx="56">
                  <c:v>-5478092.0463360008</c:v>
                </c:pt>
                <c:pt idx="57">
                  <c:v>-5575915.1185920006</c:v>
                </c:pt>
                <c:pt idx="58">
                  <c:v>-5673738.1908480003</c:v>
                </c:pt>
                <c:pt idx="59">
                  <c:v>-5771561.2631040011</c:v>
                </c:pt>
                <c:pt idx="60">
                  <c:v>-5869384.3353600008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F1-4E78-AFAA-C3301C38F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9627871"/>
        <c:axId val="2119626911"/>
      </c:lineChart>
      <c:catAx>
        <c:axId val="211962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626911"/>
        <c:crosses val="autoZero"/>
        <c:auto val="1"/>
        <c:lblAlgn val="ctr"/>
        <c:lblOffset val="100"/>
        <c:noMultiLvlLbl val="0"/>
      </c:catAx>
      <c:valAx>
        <c:axId val="21196269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Savings (€)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627871"/>
        <c:crosses val="autoZero"/>
        <c:crossBetween val="between"/>
      </c:valAx>
      <c:valAx>
        <c:axId val="212537300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Emmisions (ton)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369647"/>
        <c:crosses val="max"/>
        <c:crossBetween val="between"/>
      </c:valAx>
      <c:catAx>
        <c:axId val="2125369647"/>
        <c:scaling>
          <c:orientation val="minMax"/>
        </c:scaling>
        <c:delete val="1"/>
        <c:axPos val="b"/>
        <c:majorTickMark val="out"/>
        <c:minorTickMark val="none"/>
        <c:tickLblPos val="nextTo"/>
        <c:crossAx val="21253730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Fuel</a:t>
            </a:r>
            <a:r>
              <a:rPr lang="en-GB" baseline="0"/>
              <a:t> Savings Over Time (€)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Sheet1!$P$31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Sheet1!$Q$31:$BY$31</c:f>
              <c:numCache>
                <c:formatCode>General</c:formatCode>
                <c:ptCount val="61"/>
                <c:pt idx="0">
                  <c:v>-16861.241799111114</c:v>
                </c:pt>
                <c:pt idx="1">
                  <c:v>-67444.967196444457</c:v>
                </c:pt>
                <c:pt idx="2">
                  <c:v>-134889.93439288891</c:v>
                </c:pt>
                <c:pt idx="3">
                  <c:v>-202334.90158933337</c:v>
                </c:pt>
                <c:pt idx="4">
                  <c:v>-269779.86878577783</c:v>
                </c:pt>
                <c:pt idx="5">
                  <c:v>-337224.83598222228</c:v>
                </c:pt>
                <c:pt idx="6">
                  <c:v>-404669.80317866674</c:v>
                </c:pt>
                <c:pt idx="7">
                  <c:v>-472114.7703751112</c:v>
                </c:pt>
                <c:pt idx="8">
                  <c:v>-539559.73757155566</c:v>
                </c:pt>
                <c:pt idx="9">
                  <c:v>-607004.70476800017</c:v>
                </c:pt>
                <c:pt idx="10">
                  <c:v>-674449.67196444457</c:v>
                </c:pt>
                <c:pt idx="11">
                  <c:v>-741894.63916088897</c:v>
                </c:pt>
                <c:pt idx="12">
                  <c:v>-809339.60635733348</c:v>
                </c:pt>
                <c:pt idx="13">
                  <c:v>-876784.573553778</c:v>
                </c:pt>
                <c:pt idx="14">
                  <c:v>-944229.5407502224</c:v>
                </c:pt>
                <c:pt idx="15">
                  <c:v>-1011674.5079466668</c:v>
                </c:pt>
                <c:pt idx="16">
                  <c:v>-1079119.4751431113</c:v>
                </c:pt>
                <c:pt idx="17">
                  <c:v>-1146564.4423395558</c:v>
                </c:pt>
                <c:pt idx="18">
                  <c:v>-1214009.4095360003</c:v>
                </c:pt>
                <c:pt idx="19">
                  <c:v>-1281454.3767324446</c:v>
                </c:pt>
                <c:pt idx="20">
                  <c:v>-1348899.3439288891</c:v>
                </c:pt>
                <c:pt idx="21">
                  <c:v>-1416344.3111253337</c:v>
                </c:pt>
                <c:pt idx="22">
                  <c:v>-1483789.2783217779</c:v>
                </c:pt>
                <c:pt idx="23">
                  <c:v>-1551234.2455182225</c:v>
                </c:pt>
                <c:pt idx="24">
                  <c:v>-1618679.212714667</c:v>
                </c:pt>
                <c:pt idx="25">
                  <c:v>-1686124.1799111115</c:v>
                </c:pt>
                <c:pt idx="26">
                  <c:v>-1753569.147107556</c:v>
                </c:pt>
                <c:pt idx="27">
                  <c:v>-1821014.1143040003</c:v>
                </c:pt>
                <c:pt idx="28">
                  <c:v>-1888459.0815004448</c:v>
                </c:pt>
                <c:pt idx="29">
                  <c:v>-1955904.0486968893</c:v>
                </c:pt>
                <c:pt idx="30">
                  <c:v>-2023349.0158933336</c:v>
                </c:pt>
                <c:pt idx="31">
                  <c:v>-2090793.9830897781</c:v>
                </c:pt>
                <c:pt idx="32">
                  <c:v>-2158238.9502862226</c:v>
                </c:pt>
                <c:pt idx="33">
                  <c:v>-2225683.9174826671</c:v>
                </c:pt>
                <c:pt idx="34">
                  <c:v>-2293128.8846791117</c:v>
                </c:pt>
                <c:pt idx="35">
                  <c:v>-2360573.8518755562</c:v>
                </c:pt>
                <c:pt idx="36">
                  <c:v>-2428018.8190720007</c:v>
                </c:pt>
                <c:pt idx="37">
                  <c:v>-2495463.7862684447</c:v>
                </c:pt>
                <c:pt idx="38">
                  <c:v>-2562908.7534648892</c:v>
                </c:pt>
                <c:pt idx="39">
                  <c:v>-2630353.7206613338</c:v>
                </c:pt>
                <c:pt idx="40">
                  <c:v>-2697798.6878577783</c:v>
                </c:pt>
                <c:pt idx="41">
                  <c:v>-2765243.6550542228</c:v>
                </c:pt>
                <c:pt idx="42">
                  <c:v>-2832688.6222506673</c:v>
                </c:pt>
                <c:pt idx="43">
                  <c:v>-2900133.5894471118</c:v>
                </c:pt>
                <c:pt idx="44">
                  <c:v>-2967578.5566435559</c:v>
                </c:pt>
                <c:pt idx="45">
                  <c:v>-3035023.5238400004</c:v>
                </c:pt>
                <c:pt idx="46">
                  <c:v>-3102468.4910364449</c:v>
                </c:pt>
                <c:pt idx="47">
                  <c:v>-3169913.4582328894</c:v>
                </c:pt>
                <c:pt idx="48">
                  <c:v>-3237358.4254293339</c:v>
                </c:pt>
                <c:pt idx="49">
                  <c:v>-3304803.3926257784</c:v>
                </c:pt>
                <c:pt idx="50">
                  <c:v>-3372248.359822223</c:v>
                </c:pt>
                <c:pt idx="51">
                  <c:v>-3439693.3270186675</c:v>
                </c:pt>
                <c:pt idx="52">
                  <c:v>-3507138.294215112</c:v>
                </c:pt>
                <c:pt idx="53">
                  <c:v>-3574583.261411556</c:v>
                </c:pt>
                <c:pt idx="54">
                  <c:v>-3642028.2286080006</c:v>
                </c:pt>
                <c:pt idx="55">
                  <c:v>-3709473.1958044451</c:v>
                </c:pt>
                <c:pt idx="56">
                  <c:v>-3776918.1630008896</c:v>
                </c:pt>
                <c:pt idx="57">
                  <c:v>-3844363.1301973341</c:v>
                </c:pt>
                <c:pt idx="58">
                  <c:v>-3911808.0973937786</c:v>
                </c:pt>
                <c:pt idx="59">
                  <c:v>-3979253.0645902231</c:v>
                </c:pt>
                <c:pt idx="60">
                  <c:v>-4046698.0317866672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7-41C9-B034-50889DFCA670}"/>
            </c:ext>
          </c:extLst>
        </c:ser>
        <c:ser>
          <c:idx val="1"/>
          <c:order val="1"/>
          <c:tx>
            <c:strRef>
              <c:f>Sheet1!$P$32</c:f>
              <c:strCache>
                <c:ptCount val="1"/>
                <c:pt idx="0">
                  <c:v>Hydrogen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Sheet1!$Q$32:$BY$32</c:f>
              <c:numCache>
                <c:formatCode>General</c:formatCode>
                <c:ptCount val="61"/>
                <c:pt idx="0">
                  <c:v>13760.72419555556</c:v>
                </c:pt>
                <c:pt idx="1">
                  <c:v>55042.89678222224</c:v>
                </c:pt>
                <c:pt idx="2">
                  <c:v>110085.79356444448</c:v>
                </c:pt>
                <c:pt idx="3">
                  <c:v>165128.69034666673</c:v>
                </c:pt>
                <c:pt idx="4">
                  <c:v>220171.58712888896</c:v>
                </c:pt>
                <c:pt idx="5">
                  <c:v>275214.48391111119</c:v>
                </c:pt>
                <c:pt idx="6">
                  <c:v>330257.38069333346</c:v>
                </c:pt>
                <c:pt idx="7">
                  <c:v>385300.27747555566</c:v>
                </c:pt>
                <c:pt idx="8">
                  <c:v>440343.17425777792</c:v>
                </c:pt>
                <c:pt idx="9">
                  <c:v>495386.07104000018</c:v>
                </c:pt>
                <c:pt idx="10">
                  <c:v>550428.96782222239</c:v>
                </c:pt>
                <c:pt idx="11">
                  <c:v>605471.86460444459</c:v>
                </c:pt>
                <c:pt idx="12">
                  <c:v>660514.76138666691</c:v>
                </c:pt>
                <c:pt idx="13">
                  <c:v>715557.65816888912</c:v>
                </c:pt>
                <c:pt idx="14">
                  <c:v>770600.55495111132</c:v>
                </c:pt>
                <c:pt idx="15">
                  <c:v>825643.45173333364</c:v>
                </c:pt>
                <c:pt idx="16">
                  <c:v>880686.34851555584</c:v>
                </c:pt>
                <c:pt idx="17">
                  <c:v>935729.24529777805</c:v>
                </c:pt>
                <c:pt idx="18">
                  <c:v>990772.14208000037</c:v>
                </c:pt>
                <c:pt idx="19">
                  <c:v>1045815.0388622226</c:v>
                </c:pt>
                <c:pt idx="20">
                  <c:v>1100857.9356444448</c:v>
                </c:pt>
                <c:pt idx="21">
                  <c:v>1155900.832426667</c:v>
                </c:pt>
                <c:pt idx="22">
                  <c:v>1210943.7292088892</c:v>
                </c:pt>
                <c:pt idx="23">
                  <c:v>1265986.6259911116</c:v>
                </c:pt>
                <c:pt idx="24">
                  <c:v>1321029.5227733338</c:v>
                </c:pt>
                <c:pt idx="25">
                  <c:v>1376072.419555556</c:v>
                </c:pt>
                <c:pt idx="26">
                  <c:v>1431115.3163377782</c:v>
                </c:pt>
                <c:pt idx="27">
                  <c:v>1486158.2131200004</c:v>
                </c:pt>
                <c:pt idx="28">
                  <c:v>1541201.1099022226</c:v>
                </c:pt>
                <c:pt idx="29">
                  <c:v>1596244.0066844451</c:v>
                </c:pt>
                <c:pt idx="30">
                  <c:v>1651286.9034666673</c:v>
                </c:pt>
                <c:pt idx="31">
                  <c:v>1706329.8002488895</c:v>
                </c:pt>
                <c:pt idx="32">
                  <c:v>1761372.6970311117</c:v>
                </c:pt>
                <c:pt idx="33">
                  <c:v>1816415.5938133339</c:v>
                </c:pt>
                <c:pt idx="34">
                  <c:v>1871458.4905955561</c:v>
                </c:pt>
                <c:pt idx="35">
                  <c:v>1926501.3873777783</c:v>
                </c:pt>
                <c:pt idx="36">
                  <c:v>1981544.2841600007</c:v>
                </c:pt>
                <c:pt idx="37">
                  <c:v>2036587.1809422229</c:v>
                </c:pt>
                <c:pt idx="38">
                  <c:v>2091630.0777244451</c:v>
                </c:pt>
                <c:pt idx="39">
                  <c:v>2146672.9745066673</c:v>
                </c:pt>
                <c:pt idx="40">
                  <c:v>2201715.8712888896</c:v>
                </c:pt>
                <c:pt idx="41">
                  <c:v>2256758.7680711118</c:v>
                </c:pt>
                <c:pt idx="42">
                  <c:v>2311801.664853334</c:v>
                </c:pt>
                <c:pt idx="43">
                  <c:v>2366844.5616355562</c:v>
                </c:pt>
                <c:pt idx="44">
                  <c:v>2421887.4584177784</c:v>
                </c:pt>
                <c:pt idx="45">
                  <c:v>2476930.355200001</c:v>
                </c:pt>
                <c:pt idx="46">
                  <c:v>2531973.2519822232</c:v>
                </c:pt>
                <c:pt idx="47">
                  <c:v>2587016.1487644454</c:v>
                </c:pt>
                <c:pt idx="48">
                  <c:v>2642059.0455466677</c:v>
                </c:pt>
                <c:pt idx="49">
                  <c:v>2697101.9423288899</c:v>
                </c:pt>
                <c:pt idx="50">
                  <c:v>2752144.8391111121</c:v>
                </c:pt>
                <c:pt idx="51">
                  <c:v>2807187.7358933343</c:v>
                </c:pt>
                <c:pt idx="52">
                  <c:v>2862230.6326755565</c:v>
                </c:pt>
                <c:pt idx="53">
                  <c:v>2917273.5294577787</c:v>
                </c:pt>
                <c:pt idx="54">
                  <c:v>2972316.4262400009</c:v>
                </c:pt>
                <c:pt idx="55">
                  <c:v>3027359.3230222231</c:v>
                </c:pt>
                <c:pt idx="56">
                  <c:v>3082402.2198044453</c:v>
                </c:pt>
                <c:pt idx="57">
                  <c:v>3137445.1165866675</c:v>
                </c:pt>
                <c:pt idx="58">
                  <c:v>3192488.0133688902</c:v>
                </c:pt>
                <c:pt idx="59">
                  <c:v>3247530.9101511124</c:v>
                </c:pt>
                <c:pt idx="60">
                  <c:v>3302573.8069333346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77-41C9-B034-50889DFCA670}"/>
            </c:ext>
          </c:extLst>
        </c:ser>
        <c:ser>
          <c:idx val="2"/>
          <c:order val="2"/>
          <c:tx>
            <c:strRef>
              <c:f>Sheet1!$P$33</c:f>
              <c:strCache>
                <c:ptCount val="1"/>
                <c:pt idx="0">
                  <c:v>Biomass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Sheet1!$Q$33:$BY$33</c:f>
              <c:numCache>
                <c:formatCode>General</c:formatCode>
                <c:ptCount val="61"/>
                <c:pt idx="0">
                  <c:v>8256.4345173333331</c:v>
                </c:pt>
                <c:pt idx="1">
                  <c:v>33025.738069333333</c:v>
                </c:pt>
                <c:pt idx="2">
                  <c:v>66051.476138666665</c:v>
                </c:pt>
                <c:pt idx="3">
                  <c:v>99077.21420799999</c:v>
                </c:pt>
                <c:pt idx="4">
                  <c:v>132102.95227733333</c:v>
                </c:pt>
                <c:pt idx="5">
                  <c:v>165128.69034666667</c:v>
                </c:pt>
                <c:pt idx="6">
                  <c:v>198154.42841599998</c:v>
                </c:pt>
                <c:pt idx="7">
                  <c:v>231180.16648533332</c:v>
                </c:pt>
                <c:pt idx="8">
                  <c:v>264205.90455466666</c:v>
                </c:pt>
                <c:pt idx="9">
                  <c:v>297231.64262399997</c:v>
                </c:pt>
                <c:pt idx="10">
                  <c:v>330257.38069333334</c:v>
                </c:pt>
                <c:pt idx="11">
                  <c:v>363283.11876266665</c:v>
                </c:pt>
                <c:pt idx="12">
                  <c:v>396308.85683199996</c:v>
                </c:pt>
                <c:pt idx="13">
                  <c:v>429334.59490133333</c:v>
                </c:pt>
                <c:pt idx="14">
                  <c:v>462360.33297066664</c:v>
                </c:pt>
                <c:pt idx="15">
                  <c:v>495386.07104000001</c:v>
                </c:pt>
                <c:pt idx="16">
                  <c:v>528411.80910933332</c:v>
                </c:pt>
                <c:pt idx="17">
                  <c:v>561437.54717866669</c:v>
                </c:pt>
                <c:pt idx="18">
                  <c:v>594463.28524799994</c:v>
                </c:pt>
                <c:pt idx="19">
                  <c:v>627489.02331733331</c:v>
                </c:pt>
                <c:pt idx="20">
                  <c:v>660514.76138666668</c:v>
                </c:pt>
                <c:pt idx="21">
                  <c:v>693540.49945599993</c:v>
                </c:pt>
                <c:pt idx="22">
                  <c:v>726566.2375253333</c:v>
                </c:pt>
                <c:pt idx="23">
                  <c:v>759591.97559466667</c:v>
                </c:pt>
                <c:pt idx="24">
                  <c:v>792617.71366399992</c:v>
                </c:pt>
                <c:pt idx="25">
                  <c:v>825643.45173333329</c:v>
                </c:pt>
                <c:pt idx="26">
                  <c:v>858669.18980266666</c:v>
                </c:pt>
                <c:pt idx="27">
                  <c:v>891694.92787200003</c:v>
                </c:pt>
                <c:pt idx="28">
                  <c:v>924720.66594133328</c:v>
                </c:pt>
                <c:pt idx="29">
                  <c:v>957746.40401066665</c:v>
                </c:pt>
                <c:pt idx="30">
                  <c:v>990772.14208000002</c:v>
                </c:pt>
                <c:pt idx="31">
                  <c:v>1023797.8801493333</c:v>
                </c:pt>
                <c:pt idx="32">
                  <c:v>1056823.6182186666</c:v>
                </c:pt>
                <c:pt idx="33">
                  <c:v>1089849.356288</c:v>
                </c:pt>
                <c:pt idx="34">
                  <c:v>1122875.0943573334</c:v>
                </c:pt>
                <c:pt idx="35">
                  <c:v>1155900.8324266667</c:v>
                </c:pt>
                <c:pt idx="36">
                  <c:v>1188926.5704959999</c:v>
                </c:pt>
                <c:pt idx="37">
                  <c:v>1221952.3085653333</c:v>
                </c:pt>
                <c:pt idx="38">
                  <c:v>1254978.0466346666</c:v>
                </c:pt>
                <c:pt idx="39">
                  <c:v>1288003.784704</c:v>
                </c:pt>
                <c:pt idx="40">
                  <c:v>1321029.5227733334</c:v>
                </c:pt>
                <c:pt idx="41">
                  <c:v>1354055.2608426667</c:v>
                </c:pt>
                <c:pt idx="42">
                  <c:v>1387080.9989119999</c:v>
                </c:pt>
                <c:pt idx="43">
                  <c:v>1420106.7369813332</c:v>
                </c:pt>
                <c:pt idx="44">
                  <c:v>1453132.4750506666</c:v>
                </c:pt>
                <c:pt idx="45">
                  <c:v>1486158.21312</c:v>
                </c:pt>
                <c:pt idx="46">
                  <c:v>1519183.9511893333</c:v>
                </c:pt>
                <c:pt idx="47">
                  <c:v>1552209.6892586667</c:v>
                </c:pt>
                <c:pt idx="48">
                  <c:v>1585235.4273279998</c:v>
                </c:pt>
                <c:pt idx="49">
                  <c:v>1618261.1653973332</c:v>
                </c:pt>
                <c:pt idx="50">
                  <c:v>1651286.9034666666</c:v>
                </c:pt>
                <c:pt idx="51">
                  <c:v>1684312.641536</c:v>
                </c:pt>
                <c:pt idx="52">
                  <c:v>1717338.3796053333</c:v>
                </c:pt>
                <c:pt idx="53">
                  <c:v>1750364.1176746667</c:v>
                </c:pt>
                <c:pt idx="54">
                  <c:v>1783389.8557440001</c:v>
                </c:pt>
                <c:pt idx="55">
                  <c:v>1816415.5938133332</c:v>
                </c:pt>
                <c:pt idx="56">
                  <c:v>1849441.3318826666</c:v>
                </c:pt>
                <c:pt idx="57">
                  <c:v>1882467.0699519999</c:v>
                </c:pt>
                <c:pt idx="58">
                  <c:v>1915492.8080213333</c:v>
                </c:pt>
                <c:pt idx="59">
                  <c:v>1948518.5460906667</c:v>
                </c:pt>
                <c:pt idx="60">
                  <c:v>1981544.28416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77-41C9-B034-50889DFCA670}"/>
            </c:ext>
          </c:extLst>
        </c:ser>
        <c:ser>
          <c:idx val="3"/>
          <c:order val="3"/>
          <c:tx>
            <c:strRef>
              <c:f>Sheet1!$P$34</c:f>
              <c:strCache>
                <c:ptCount val="1"/>
                <c:pt idx="0">
                  <c:v>Iron Fuel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Sheet1!$Q$34:$BY$34</c:f>
              <c:numCache>
                <c:formatCode>General</c:formatCode>
                <c:ptCount val="61"/>
                <c:pt idx="0">
                  <c:v>-24455.768064000004</c:v>
                </c:pt>
                <c:pt idx="1">
                  <c:v>-97823.072256000014</c:v>
                </c:pt>
                <c:pt idx="2">
                  <c:v>-195646.14451200003</c:v>
                </c:pt>
                <c:pt idx="3">
                  <c:v>-293469.21676800004</c:v>
                </c:pt>
                <c:pt idx="4">
                  <c:v>-391292.28902400006</c:v>
                </c:pt>
                <c:pt idx="5">
                  <c:v>-489115.36128000007</c:v>
                </c:pt>
                <c:pt idx="6">
                  <c:v>-586938.43353600008</c:v>
                </c:pt>
                <c:pt idx="7">
                  <c:v>-684761.5057920001</c:v>
                </c:pt>
                <c:pt idx="8">
                  <c:v>-782584.57804800011</c:v>
                </c:pt>
                <c:pt idx="9">
                  <c:v>-880407.65030400013</c:v>
                </c:pt>
                <c:pt idx="10">
                  <c:v>-978230.72256000014</c:v>
                </c:pt>
                <c:pt idx="11">
                  <c:v>-1076053.7948160002</c:v>
                </c:pt>
                <c:pt idx="12">
                  <c:v>-1173876.8670720002</c:v>
                </c:pt>
                <c:pt idx="13">
                  <c:v>-1271699.9393280002</c:v>
                </c:pt>
                <c:pt idx="14">
                  <c:v>-1369523.0115840002</c:v>
                </c:pt>
                <c:pt idx="15">
                  <c:v>-1467346.0838400002</c:v>
                </c:pt>
                <c:pt idx="16">
                  <c:v>-1565169.1560960002</c:v>
                </c:pt>
                <c:pt idx="17">
                  <c:v>-1662992.2283520002</c:v>
                </c:pt>
                <c:pt idx="18">
                  <c:v>-1760815.3006080003</c:v>
                </c:pt>
                <c:pt idx="19">
                  <c:v>-1858638.3728640003</c:v>
                </c:pt>
                <c:pt idx="20">
                  <c:v>-1956461.4451200003</c:v>
                </c:pt>
                <c:pt idx="21">
                  <c:v>-2054284.5173760003</c:v>
                </c:pt>
                <c:pt idx="22">
                  <c:v>-2152107.5896320003</c:v>
                </c:pt>
                <c:pt idx="23">
                  <c:v>-2249930.6618880006</c:v>
                </c:pt>
                <c:pt idx="24">
                  <c:v>-2347753.7341440003</c:v>
                </c:pt>
                <c:pt idx="25">
                  <c:v>-2445576.8064000001</c:v>
                </c:pt>
                <c:pt idx="26">
                  <c:v>-2543399.8786560004</c:v>
                </c:pt>
                <c:pt idx="27">
                  <c:v>-2641222.9509120006</c:v>
                </c:pt>
                <c:pt idx="28">
                  <c:v>-2739046.0231680004</c:v>
                </c:pt>
                <c:pt idx="29">
                  <c:v>-2836869.0954240002</c:v>
                </c:pt>
                <c:pt idx="30">
                  <c:v>-2934692.1676800004</c:v>
                </c:pt>
                <c:pt idx="31">
                  <c:v>-3032515.2399360007</c:v>
                </c:pt>
                <c:pt idx="32">
                  <c:v>-3130338.3121920004</c:v>
                </c:pt>
                <c:pt idx="33">
                  <c:v>-3228161.3844480002</c:v>
                </c:pt>
                <c:pt idx="34">
                  <c:v>-3325984.4567040005</c:v>
                </c:pt>
                <c:pt idx="35">
                  <c:v>-3423807.5289600007</c:v>
                </c:pt>
                <c:pt idx="36">
                  <c:v>-3521630.6012160005</c:v>
                </c:pt>
                <c:pt idx="37">
                  <c:v>-3619453.6734720003</c:v>
                </c:pt>
                <c:pt idx="38">
                  <c:v>-3717276.7457280005</c:v>
                </c:pt>
                <c:pt idx="39">
                  <c:v>-3815099.8179840008</c:v>
                </c:pt>
                <c:pt idx="40">
                  <c:v>-3912922.8902400006</c:v>
                </c:pt>
                <c:pt idx="41">
                  <c:v>-4010745.9624960003</c:v>
                </c:pt>
                <c:pt idx="42">
                  <c:v>-4108569.0347520006</c:v>
                </c:pt>
                <c:pt idx="43">
                  <c:v>-4206392.1070080008</c:v>
                </c:pt>
                <c:pt idx="44">
                  <c:v>-4304215.1792640006</c:v>
                </c:pt>
                <c:pt idx="45">
                  <c:v>-4402038.2515200004</c:v>
                </c:pt>
                <c:pt idx="46">
                  <c:v>-4499861.3237760011</c:v>
                </c:pt>
                <c:pt idx="47">
                  <c:v>-4597684.3960320009</c:v>
                </c:pt>
                <c:pt idx="48">
                  <c:v>-4695507.4682880007</c:v>
                </c:pt>
                <c:pt idx="49">
                  <c:v>-4793330.5405440005</c:v>
                </c:pt>
                <c:pt idx="50">
                  <c:v>-4891153.6128000002</c:v>
                </c:pt>
                <c:pt idx="51">
                  <c:v>-4988976.6850560009</c:v>
                </c:pt>
                <c:pt idx="52">
                  <c:v>-5086799.7573120007</c:v>
                </c:pt>
                <c:pt idx="53">
                  <c:v>-5184622.8295680005</c:v>
                </c:pt>
                <c:pt idx="54">
                  <c:v>-5282445.9018240012</c:v>
                </c:pt>
                <c:pt idx="55">
                  <c:v>-5380268.974080001</c:v>
                </c:pt>
                <c:pt idx="56">
                  <c:v>-5478092.0463360008</c:v>
                </c:pt>
                <c:pt idx="57">
                  <c:v>-5575915.1185920006</c:v>
                </c:pt>
                <c:pt idx="58">
                  <c:v>-5673738.1908480003</c:v>
                </c:pt>
                <c:pt idx="59">
                  <c:v>-5771561.2631040011</c:v>
                </c:pt>
                <c:pt idx="60">
                  <c:v>-5869384.3353600008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77-41C9-B034-50889DFCA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5302607"/>
        <c:axId val="995298287"/>
      </c:lineChart>
      <c:catAx>
        <c:axId val="995302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298287"/>
        <c:crosses val="autoZero"/>
        <c:auto val="1"/>
        <c:lblAlgn val="ctr"/>
        <c:lblOffset val="100"/>
        <c:noMultiLvlLbl val="0"/>
      </c:catAx>
      <c:valAx>
        <c:axId val="99529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Savings (€)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Emmisions</a:t>
            </a:r>
            <a:r>
              <a:rPr lang="en-GB" baseline="0"/>
              <a:t> over Time (tons)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Sheet1!$P$36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Sheet1!$Q$36:$BY$36</c:f>
              <c:numCache>
                <c:formatCode>General</c:formatCode>
                <c:ptCount val="61"/>
                <c:pt idx="0" formatCode="0">
                  <c:v>58.693843353600002</c:v>
                </c:pt>
                <c:pt idx="1">
                  <c:v>234.77537341440001</c:v>
                </c:pt>
                <c:pt idx="2">
                  <c:v>469.55074682880002</c:v>
                </c:pt>
                <c:pt idx="3">
                  <c:v>704.32612024319997</c:v>
                </c:pt>
                <c:pt idx="4">
                  <c:v>939.10149365760003</c:v>
                </c:pt>
                <c:pt idx="5">
                  <c:v>1173.8768670720001</c:v>
                </c:pt>
                <c:pt idx="6">
                  <c:v>1408.6522404863999</c:v>
                </c:pt>
                <c:pt idx="7">
                  <c:v>1643.4276139008</c:v>
                </c:pt>
                <c:pt idx="8">
                  <c:v>1878.2029873152001</c:v>
                </c:pt>
                <c:pt idx="9">
                  <c:v>2112.9783607295999</c:v>
                </c:pt>
                <c:pt idx="10">
                  <c:v>2347.7537341440002</c:v>
                </c:pt>
                <c:pt idx="11">
                  <c:v>2582.5291075584</c:v>
                </c:pt>
                <c:pt idx="12">
                  <c:v>2817.3044809727999</c:v>
                </c:pt>
                <c:pt idx="13">
                  <c:v>3052.0798543872002</c:v>
                </c:pt>
                <c:pt idx="14">
                  <c:v>3286.8552278016</c:v>
                </c:pt>
                <c:pt idx="15">
                  <c:v>3521.6306012160003</c:v>
                </c:pt>
                <c:pt idx="16">
                  <c:v>3756.4059746304001</c:v>
                </c:pt>
                <c:pt idx="17">
                  <c:v>3991.1813480448</c:v>
                </c:pt>
                <c:pt idx="18">
                  <c:v>4225.9567214591998</c:v>
                </c:pt>
                <c:pt idx="19">
                  <c:v>4460.7320948736005</c:v>
                </c:pt>
                <c:pt idx="20">
                  <c:v>4695.5074682880004</c:v>
                </c:pt>
                <c:pt idx="21">
                  <c:v>4930.2828417024002</c:v>
                </c:pt>
                <c:pt idx="22">
                  <c:v>5165.0582151168001</c:v>
                </c:pt>
                <c:pt idx="23">
                  <c:v>5399.8335885311999</c:v>
                </c:pt>
                <c:pt idx="24">
                  <c:v>5634.6089619455997</c:v>
                </c:pt>
                <c:pt idx="25">
                  <c:v>5869.3843353600005</c:v>
                </c:pt>
                <c:pt idx="26">
                  <c:v>6104.1597087744003</c:v>
                </c:pt>
                <c:pt idx="27">
                  <c:v>6338.9350821888002</c:v>
                </c:pt>
                <c:pt idx="28">
                  <c:v>6573.7104556032</c:v>
                </c:pt>
                <c:pt idx="29">
                  <c:v>6808.4858290175998</c:v>
                </c:pt>
                <c:pt idx="30">
                  <c:v>7043.2612024320006</c:v>
                </c:pt>
                <c:pt idx="31">
                  <c:v>7278.0365758464004</c:v>
                </c:pt>
                <c:pt idx="32">
                  <c:v>7512.8119492608002</c:v>
                </c:pt>
                <c:pt idx="33">
                  <c:v>7747.5873226752001</c:v>
                </c:pt>
                <c:pt idx="34">
                  <c:v>7982.3626960895999</c:v>
                </c:pt>
                <c:pt idx="35">
                  <c:v>8217.1380695040007</c:v>
                </c:pt>
                <c:pt idx="36">
                  <c:v>8451.9134429183996</c:v>
                </c:pt>
                <c:pt idx="37">
                  <c:v>8686.6888163328003</c:v>
                </c:pt>
                <c:pt idx="38">
                  <c:v>8921.4641897472011</c:v>
                </c:pt>
                <c:pt idx="39">
                  <c:v>9156.2395631616</c:v>
                </c:pt>
                <c:pt idx="40">
                  <c:v>9391.0149365760008</c:v>
                </c:pt>
                <c:pt idx="41">
                  <c:v>9625.7903099903997</c:v>
                </c:pt>
                <c:pt idx="42">
                  <c:v>9860.5656834048004</c:v>
                </c:pt>
                <c:pt idx="43">
                  <c:v>10095.341056819201</c:v>
                </c:pt>
                <c:pt idx="44">
                  <c:v>10330.1164302336</c:v>
                </c:pt>
                <c:pt idx="45">
                  <c:v>10564.891803648001</c:v>
                </c:pt>
                <c:pt idx="46">
                  <c:v>10799.6671770624</c:v>
                </c:pt>
                <c:pt idx="47">
                  <c:v>11034.442550476801</c:v>
                </c:pt>
                <c:pt idx="48">
                  <c:v>11269.217923891199</c:v>
                </c:pt>
                <c:pt idx="49">
                  <c:v>11503.9932973056</c:v>
                </c:pt>
                <c:pt idx="50">
                  <c:v>11738.768670720001</c:v>
                </c:pt>
                <c:pt idx="51">
                  <c:v>11973.5440441344</c:v>
                </c:pt>
                <c:pt idx="52">
                  <c:v>12208.319417548801</c:v>
                </c:pt>
                <c:pt idx="53">
                  <c:v>12443.0947909632</c:v>
                </c:pt>
                <c:pt idx="54">
                  <c:v>12677.8701643776</c:v>
                </c:pt>
                <c:pt idx="55">
                  <c:v>12912.645537792001</c:v>
                </c:pt>
                <c:pt idx="56">
                  <c:v>13147.4209112064</c:v>
                </c:pt>
                <c:pt idx="57">
                  <c:v>13382.196284620801</c:v>
                </c:pt>
                <c:pt idx="58">
                  <c:v>13616.9716580352</c:v>
                </c:pt>
                <c:pt idx="59">
                  <c:v>13851.7470314496</c:v>
                </c:pt>
                <c:pt idx="60">
                  <c:v>14086.522404864001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6-4F80-ACFC-79800AAEC5D1}"/>
            </c:ext>
          </c:extLst>
        </c:ser>
        <c:ser>
          <c:idx val="1"/>
          <c:order val="1"/>
          <c:tx>
            <c:strRef>
              <c:f>Sheet1!$P$37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Sheet1!$Q$37:$BY$37</c:f>
              <c:numCache>
                <c:formatCode>General</c:formatCode>
                <c:ptCount val="61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A6-4F80-ACFC-79800AAEC5D1}"/>
            </c:ext>
          </c:extLst>
        </c:ser>
        <c:ser>
          <c:idx val="2"/>
          <c:order val="2"/>
          <c:tx>
            <c:strRef>
              <c:f>Sheet1!$P$38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Sheet1!$Q$38:$BY$38</c:f>
              <c:numCache>
                <c:formatCode>General</c:formatCode>
                <c:ptCount val="61"/>
                <c:pt idx="0" formatCode="0">
                  <c:v>9.0298220544000003</c:v>
                </c:pt>
                <c:pt idx="1">
                  <c:v>36.119288217600001</c:v>
                </c:pt>
                <c:pt idx="2">
                  <c:v>72.238576435200002</c:v>
                </c:pt>
                <c:pt idx="3">
                  <c:v>108.3578646528</c:v>
                </c:pt>
                <c:pt idx="4">
                  <c:v>144.4771528704</c:v>
                </c:pt>
                <c:pt idx="5">
                  <c:v>180.59644108800001</c:v>
                </c:pt>
                <c:pt idx="6">
                  <c:v>216.71572930560001</c:v>
                </c:pt>
                <c:pt idx="7">
                  <c:v>252.83501752320001</c:v>
                </c:pt>
                <c:pt idx="8">
                  <c:v>288.95430574080001</c:v>
                </c:pt>
                <c:pt idx="9">
                  <c:v>325.07359395840001</c:v>
                </c:pt>
                <c:pt idx="10">
                  <c:v>361.19288217600001</c:v>
                </c:pt>
                <c:pt idx="11">
                  <c:v>397.31217039360001</c:v>
                </c:pt>
                <c:pt idx="12">
                  <c:v>433.43145861120001</c:v>
                </c:pt>
                <c:pt idx="13">
                  <c:v>469.55074682880002</c:v>
                </c:pt>
                <c:pt idx="14">
                  <c:v>505.67003504640002</c:v>
                </c:pt>
                <c:pt idx="15">
                  <c:v>541.78932326400002</c:v>
                </c:pt>
                <c:pt idx="16">
                  <c:v>577.90861148160002</c:v>
                </c:pt>
                <c:pt idx="17">
                  <c:v>614.02789969920002</c:v>
                </c:pt>
                <c:pt idx="18">
                  <c:v>650.14718791680002</c:v>
                </c:pt>
                <c:pt idx="19">
                  <c:v>686.26647613440002</c:v>
                </c:pt>
                <c:pt idx="20">
                  <c:v>722.38576435200002</c:v>
                </c:pt>
                <c:pt idx="21">
                  <c:v>758.50505256960002</c:v>
                </c:pt>
                <c:pt idx="22">
                  <c:v>794.62434078720003</c:v>
                </c:pt>
                <c:pt idx="23">
                  <c:v>830.74362900480003</c:v>
                </c:pt>
                <c:pt idx="24">
                  <c:v>866.86291722240003</c:v>
                </c:pt>
                <c:pt idx="25">
                  <c:v>902.98220544000003</c:v>
                </c:pt>
                <c:pt idx="26">
                  <c:v>939.10149365760003</c:v>
                </c:pt>
                <c:pt idx="27">
                  <c:v>975.22078187520003</c:v>
                </c:pt>
                <c:pt idx="28">
                  <c:v>1011.3400700928</c:v>
                </c:pt>
                <c:pt idx="29">
                  <c:v>1047.4593583104001</c:v>
                </c:pt>
                <c:pt idx="30">
                  <c:v>1083.578646528</c:v>
                </c:pt>
                <c:pt idx="31">
                  <c:v>1119.6979347455999</c:v>
                </c:pt>
                <c:pt idx="32">
                  <c:v>1155.8172229632</c:v>
                </c:pt>
                <c:pt idx="33">
                  <c:v>1191.9365111808002</c:v>
                </c:pt>
                <c:pt idx="34">
                  <c:v>1228.0557993984</c:v>
                </c:pt>
                <c:pt idx="35">
                  <c:v>1264.1750876159999</c:v>
                </c:pt>
                <c:pt idx="36">
                  <c:v>1300.2943758336</c:v>
                </c:pt>
                <c:pt idx="37">
                  <c:v>1336.4136640512002</c:v>
                </c:pt>
                <c:pt idx="38">
                  <c:v>1372.5329522688</c:v>
                </c:pt>
                <c:pt idx="39">
                  <c:v>1408.6522404863999</c:v>
                </c:pt>
                <c:pt idx="40">
                  <c:v>1444.771528704</c:v>
                </c:pt>
                <c:pt idx="41">
                  <c:v>1480.8908169216002</c:v>
                </c:pt>
                <c:pt idx="42">
                  <c:v>1517.0101051392</c:v>
                </c:pt>
                <c:pt idx="43">
                  <c:v>1553.1293933567999</c:v>
                </c:pt>
                <c:pt idx="44">
                  <c:v>1589.2486815744001</c:v>
                </c:pt>
                <c:pt idx="45">
                  <c:v>1625.3679697920002</c:v>
                </c:pt>
                <c:pt idx="46">
                  <c:v>1661.4872580096001</c:v>
                </c:pt>
                <c:pt idx="47">
                  <c:v>1697.6065462271999</c:v>
                </c:pt>
                <c:pt idx="48">
                  <c:v>1733.7258344448001</c:v>
                </c:pt>
                <c:pt idx="49">
                  <c:v>1769.8451226624002</c:v>
                </c:pt>
                <c:pt idx="50">
                  <c:v>1805.9644108800001</c:v>
                </c:pt>
                <c:pt idx="51">
                  <c:v>1842.0836990975999</c:v>
                </c:pt>
                <c:pt idx="52">
                  <c:v>1878.2029873152001</c:v>
                </c:pt>
                <c:pt idx="53">
                  <c:v>1914.3222755328002</c:v>
                </c:pt>
                <c:pt idx="54">
                  <c:v>1950.4415637504001</c:v>
                </c:pt>
                <c:pt idx="55">
                  <c:v>1986.560851968</c:v>
                </c:pt>
                <c:pt idx="56">
                  <c:v>2022.6801401856001</c:v>
                </c:pt>
                <c:pt idx="57">
                  <c:v>2058.7994284032002</c:v>
                </c:pt>
                <c:pt idx="58">
                  <c:v>2094.9187166208003</c:v>
                </c:pt>
                <c:pt idx="59">
                  <c:v>2131.0380048384</c:v>
                </c:pt>
                <c:pt idx="60">
                  <c:v>2167.1572930560001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A6-4F80-ACFC-79800AAEC5D1}"/>
            </c:ext>
          </c:extLst>
        </c:ser>
        <c:ser>
          <c:idx val="3"/>
          <c:order val="3"/>
          <c:tx>
            <c:strRef>
              <c:f>Sheet1!$P$39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Sheet1!$Q$39:$BY$39</c:f>
              <c:numCache>
                <c:formatCode>General</c:formatCode>
                <c:ptCount val="61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A6-4F80-ACFC-79800AAEC5D1}"/>
            </c:ext>
          </c:extLst>
        </c:ser>
        <c:ser>
          <c:idx val="4"/>
          <c:order val="4"/>
          <c:tx>
            <c:strRef>
              <c:f>Sheet1!$P$40</c:f>
              <c:strCache>
                <c:ptCount val="1"/>
                <c:pt idx="0">
                  <c:v>Iron Fuel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Sheet1!$Q$40:$BY$40</c:f>
              <c:numCache>
                <c:formatCode>General</c:formatCode>
                <c:ptCount val="61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A6-4F80-ACFC-79800AAEC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5420527"/>
        <c:axId val="995423407"/>
      </c:barChart>
      <c:catAx>
        <c:axId val="995420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423407"/>
        <c:crosses val="autoZero"/>
        <c:auto val="1"/>
        <c:lblAlgn val="ctr"/>
        <c:lblOffset val="100"/>
        <c:noMultiLvlLbl val="0"/>
      </c:catAx>
      <c:valAx>
        <c:axId val="99542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Emmisions (tons)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42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285750</xdr:colOff>
      <xdr:row>3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5F40F6-034B-6960-5062-E5DC9329A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03200"/>
          <a:ext cx="49085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523875</xdr:colOff>
      <xdr:row>4</xdr:row>
      <xdr:rowOff>0</xdr:rowOff>
    </xdr:from>
    <xdr:to>
      <xdr:col>8</xdr:col>
      <xdr:colOff>152400</xdr:colOff>
      <xdr:row>6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67344A-2BD3-FB90-FD9A-8574BD0EB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1850" y="800100"/>
          <a:ext cx="22860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25400</xdr:colOff>
      <xdr:row>4</xdr:row>
      <xdr:rowOff>28575</xdr:rowOff>
    </xdr:from>
    <xdr:to>
      <xdr:col>11</xdr:col>
      <xdr:colOff>76200</xdr:colOff>
      <xdr:row>5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DF9BD8-D014-C44F-8B2F-D6896167A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8075" y="828675"/>
          <a:ext cx="13652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3</xdr:row>
      <xdr:rowOff>0</xdr:rowOff>
    </xdr:from>
    <xdr:to>
      <xdr:col>20</xdr:col>
      <xdr:colOff>514350</xdr:colOff>
      <xdr:row>4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DF327F-0CB4-BAFB-0447-9DD82AC00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5200" y="609600"/>
          <a:ext cx="5137150" cy="24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582612</xdr:colOff>
      <xdr:row>14</xdr:row>
      <xdr:rowOff>74612</xdr:rowOff>
    </xdr:from>
    <xdr:to>
      <xdr:col>26</xdr:col>
      <xdr:colOff>534987</xdr:colOff>
      <xdr:row>28</xdr:row>
      <xdr:rowOff>20637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FA198D-F71D-31A9-ADE2-DBFF37F1E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47</xdr:col>
      <xdr:colOff>533615</xdr:colOff>
      <xdr:row>2</xdr:row>
      <xdr:rowOff>41351</xdr:rowOff>
    </xdr:from>
    <xdr:to>
      <xdr:col>60</xdr:col>
      <xdr:colOff>75215</xdr:colOff>
      <xdr:row>23</xdr:row>
      <xdr:rowOff>175916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6162E27-08F4-7E1C-F878-800B46E1A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506614</xdr:colOff>
      <xdr:row>6</xdr:row>
      <xdr:rowOff>45029</xdr:rowOff>
    </xdr:from>
    <xdr:to>
      <xdr:col>36</xdr:col>
      <xdr:colOff>532191</xdr:colOff>
      <xdr:row>22</xdr:row>
      <xdr:rowOff>136731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D82E515-11CA-6E03-A5F9-917CE0D88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37</xdr:col>
      <xdr:colOff>620594</xdr:colOff>
      <xdr:row>6</xdr:row>
      <xdr:rowOff>76715</xdr:rowOff>
    </xdr:from>
    <xdr:to>
      <xdr:col>46</xdr:col>
      <xdr:colOff>522905</xdr:colOff>
      <xdr:row>23</xdr:row>
      <xdr:rowOff>109213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959F864-33A4-F578-9BDC-08DA8ACA8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2BAAA-AE0F-4CB6-99AC-75A8220D391E}">
  <dimension ref="A1:BY161"/>
  <sheetViews>
    <sheetView tabSelected="1" topLeftCell="A18" zoomScale="48" zoomScaleNormal="115" workbookViewId="0">
      <selection activeCell="W49" sqref="W49:AA52"/>
    </sheetView>
  </sheetViews>
  <sheetFormatPr defaultRowHeight="16" x14ac:dyDescent="0.4"/>
  <cols>
    <col min="1" max="1" width="11.5" bestFit="1" customWidth="1"/>
    <col min="4" max="4" width="14.33203125" bestFit="1" customWidth="1"/>
    <col min="5" max="5" width="12.08203125" bestFit="1" customWidth="1"/>
    <col min="6" max="7" width="12" bestFit="1" customWidth="1"/>
    <col min="8" max="8" width="13.08203125" bestFit="1" customWidth="1"/>
    <col min="9" max="9" width="14.58203125" bestFit="1" customWidth="1"/>
    <col min="11" max="11" width="9.25" bestFit="1" customWidth="1"/>
    <col min="12" max="12" width="8.08203125" bestFit="1" customWidth="1"/>
    <col min="13" max="13" width="9.25" bestFit="1" customWidth="1"/>
    <col min="15" max="15" width="13" bestFit="1" customWidth="1"/>
    <col min="16" max="16" width="11.83203125" bestFit="1" customWidth="1"/>
    <col min="17" max="17" width="14.5" bestFit="1" customWidth="1"/>
    <col min="18" max="19" width="11.25" bestFit="1" customWidth="1"/>
    <col min="20" max="20" width="12.75" bestFit="1" customWidth="1"/>
    <col min="21" max="21" width="13.58203125" bestFit="1" customWidth="1"/>
    <col min="23" max="23" width="21" bestFit="1" customWidth="1"/>
    <col min="24" max="24" width="9.83203125" bestFit="1" customWidth="1"/>
    <col min="25" max="25" width="10.83203125" bestFit="1" customWidth="1"/>
    <col min="26" max="26" width="11.83203125" bestFit="1" customWidth="1"/>
    <col min="27" max="27" width="13.5" bestFit="1" customWidth="1"/>
    <col min="28" max="28" width="13.58203125" bestFit="1" customWidth="1"/>
    <col min="30" max="30" width="12.58203125" bestFit="1" customWidth="1"/>
    <col min="31" max="31" width="8.58203125" customWidth="1"/>
    <col min="32" max="35" width="12.58203125" bestFit="1" customWidth="1"/>
  </cols>
  <sheetData>
    <row r="1" spans="1:27" x14ac:dyDescent="0.4">
      <c r="A1" t="s">
        <v>3</v>
      </c>
      <c r="B1">
        <v>50</v>
      </c>
      <c r="C1" t="s">
        <v>10</v>
      </c>
    </row>
    <row r="2" spans="1:27" x14ac:dyDescent="0.4">
      <c r="A2" t="s">
        <v>0</v>
      </c>
      <c r="B2">
        <v>0.27200000000000002</v>
      </c>
      <c r="C2" t="s">
        <v>8</v>
      </c>
    </row>
    <row r="3" spans="1:27" x14ac:dyDescent="0.4">
      <c r="A3" t="s">
        <v>1</v>
      </c>
      <c r="B3">
        <v>2850</v>
      </c>
      <c r="C3" t="s">
        <v>11</v>
      </c>
    </row>
    <row r="4" spans="1:27" x14ac:dyDescent="0.4">
      <c r="A4" t="s">
        <v>2</v>
      </c>
      <c r="B4">
        <v>277</v>
      </c>
      <c r="C4" t="s">
        <v>11</v>
      </c>
    </row>
    <row r="7" spans="1:27" x14ac:dyDescent="0.4">
      <c r="O7" s="2" t="s">
        <v>36</v>
      </c>
      <c r="P7" s="41" t="s">
        <v>37</v>
      </c>
      <c r="Q7" s="42"/>
      <c r="R7" s="42"/>
      <c r="S7" s="42"/>
      <c r="T7" s="43"/>
    </row>
    <row r="8" spans="1:27" x14ac:dyDescent="0.4">
      <c r="B8" t="s">
        <v>14</v>
      </c>
      <c r="D8" t="s">
        <v>21</v>
      </c>
      <c r="F8" t="s">
        <v>15</v>
      </c>
      <c r="H8" t="s">
        <v>20</v>
      </c>
      <c r="O8" s="3">
        <f>B2*(B3-B4)</f>
        <v>699.85599999999999</v>
      </c>
      <c r="P8" s="11" t="s">
        <v>32</v>
      </c>
      <c r="Q8" s="12" t="s">
        <v>28</v>
      </c>
      <c r="R8" s="12" t="s">
        <v>29</v>
      </c>
      <c r="S8" s="12" t="s">
        <v>30</v>
      </c>
      <c r="T8" s="13" t="s">
        <v>31</v>
      </c>
      <c r="V8" s="25" t="s">
        <v>38</v>
      </c>
      <c r="W8" s="41" t="s">
        <v>39</v>
      </c>
      <c r="X8" s="42"/>
      <c r="Y8" s="42"/>
      <c r="Z8" s="42"/>
      <c r="AA8" s="43"/>
    </row>
    <row r="9" spans="1:27" x14ac:dyDescent="0.4">
      <c r="A9" t="s">
        <v>4</v>
      </c>
      <c r="B9">
        <v>4.2200000000000001E-2</v>
      </c>
      <c r="C9" t="s">
        <v>9</v>
      </c>
      <c r="D9">
        <f>B9/3600</f>
        <v>1.1722222222222222E-5</v>
      </c>
      <c r="E9" t="s">
        <v>22</v>
      </c>
      <c r="F9">
        <v>52</v>
      </c>
      <c r="G9" t="s">
        <v>34</v>
      </c>
      <c r="H9">
        <v>54400</v>
      </c>
      <c r="I9" t="s">
        <v>17</v>
      </c>
      <c r="O9" s="2" t="s">
        <v>23</v>
      </c>
      <c r="P9" s="5">
        <f>D9*$O$8</f>
        <v>8.2038675555555548E-3</v>
      </c>
      <c r="Q9" s="5">
        <f>P9*3600*24*7</f>
        <v>4961.6990975999988</v>
      </c>
      <c r="R9" s="5">
        <f>Q9*4</f>
        <v>19846.796390399995</v>
      </c>
      <c r="S9" s="5">
        <f>Q9*52</f>
        <v>258008.35307519994</v>
      </c>
      <c r="T9" s="6">
        <f>S9*10</f>
        <v>2580083.5307519995</v>
      </c>
      <c r="V9" s="26">
        <v>0.9</v>
      </c>
      <c r="W9" s="11" t="s">
        <v>32</v>
      </c>
      <c r="X9" s="12" t="s">
        <v>28</v>
      </c>
      <c r="Y9" s="12" t="s">
        <v>29</v>
      </c>
      <c r="Z9" s="12" t="s">
        <v>30</v>
      </c>
      <c r="AA9" s="13" t="s">
        <v>31</v>
      </c>
    </row>
    <row r="10" spans="1:27" x14ac:dyDescent="0.4">
      <c r="A10" t="s">
        <v>5</v>
      </c>
      <c r="B10">
        <v>9.06E-2</v>
      </c>
      <c r="C10" t="s">
        <v>9</v>
      </c>
      <c r="D10">
        <f t="shared" ref="D10:D13" si="0">B10/3600</f>
        <v>2.5166666666666667E-5</v>
      </c>
      <c r="E10" t="s">
        <v>22</v>
      </c>
      <c r="F10">
        <v>0</v>
      </c>
      <c r="G10" t="s">
        <v>34</v>
      </c>
      <c r="H10">
        <v>1</v>
      </c>
      <c r="I10" t="s">
        <v>18</v>
      </c>
      <c r="O10" s="9" t="s">
        <v>24</v>
      </c>
      <c r="P10" s="5">
        <f>D10*$O$8</f>
        <v>1.7613042666666669E-2</v>
      </c>
      <c r="Q10" s="5">
        <f t="shared" ref="Q10:Q13" si="1">P10*3600*24*7</f>
        <v>10652.368204800001</v>
      </c>
      <c r="R10" s="5">
        <f t="shared" ref="R10:R13" si="2">Q10*4</f>
        <v>42609.472819200004</v>
      </c>
      <c r="S10" s="5">
        <f t="shared" ref="S10:S13" si="3">Q10*52</f>
        <v>553923.14664960001</v>
      </c>
      <c r="T10" s="6">
        <f t="shared" ref="T10:T13" si="4">S10*10</f>
        <v>5539231.4664960001</v>
      </c>
      <c r="V10" s="9" t="s">
        <v>24</v>
      </c>
      <c r="W10" s="21">
        <f>$B$2*($B$3-$B$4)*(D9/0.9 - D10/0.9)</f>
        <v>-1.045463901234568E-2</v>
      </c>
      <c r="X10" s="21">
        <f>W10*3600*16*7</f>
        <v>-4215.3104497777786</v>
      </c>
      <c r="Y10" s="21">
        <f>X10*4</f>
        <v>-16861.241799111114</v>
      </c>
      <c r="Z10" s="21">
        <f>X10*52</f>
        <v>-219196.1433884445</v>
      </c>
      <c r="AA10" s="22">
        <f>Z10*10</f>
        <v>-2191961.4338844451</v>
      </c>
    </row>
    <row r="11" spans="1:27" x14ac:dyDescent="0.4">
      <c r="A11" t="s">
        <v>6</v>
      </c>
      <c r="B11">
        <v>5.11E-2</v>
      </c>
      <c r="C11" t="s">
        <v>9</v>
      </c>
      <c r="D11">
        <f t="shared" si="0"/>
        <v>1.4194444444444445E-5</v>
      </c>
      <c r="E11" t="s">
        <v>22</v>
      </c>
      <c r="F11">
        <v>8</v>
      </c>
      <c r="G11" t="s">
        <v>34</v>
      </c>
      <c r="H11">
        <v>141552</v>
      </c>
      <c r="I11" t="s">
        <v>17</v>
      </c>
      <c r="O11" s="9" t="s">
        <v>25</v>
      </c>
      <c r="P11" s="5">
        <f>D11*$O$8</f>
        <v>9.9340671111111112E-3</v>
      </c>
      <c r="Q11" s="5">
        <f t="shared" si="1"/>
        <v>6008.1237888000005</v>
      </c>
      <c r="R11" s="5">
        <f t="shared" si="2"/>
        <v>24032.495155200002</v>
      </c>
      <c r="S11" s="5">
        <f t="shared" si="3"/>
        <v>312422.43701760005</v>
      </c>
      <c r="T11" s="6">
        <f t="shared" si="4"/>
        <v>3124224.3701760005</v>
      </c>
      <c r="V11" s="9" t="s">
        <v>25</v>
      </c>
      <c r="W11" s="21">
        <f t="shared" ref="W11:W13" si="5">$B$2*($B$3-$B$4)*(D10/0.9 - D11/0.9)</f>
        <v>8.5321950617283978E-3</v>
      </c>
      <c r="X11" s="21">
        <f t="shared" ref="X11:X13" si="6">W11*3600*16*7</f>
        <v>3440.18104888889</v>
      </c>
      <c r="Y11" s="21">
        <f t="shared" ref="Y11:Y13" si="7">X11*4</f>
        <v>13760.72419555556</v>
      </c>
      <c r="Z11" s="21">
        <f t="shared" ref="Z11:Z13" si="8">X11*52</f>
        <v>178889.41454222228</v>
      </c>
      <c r="AA11" s="22">
        <f t="shared" ref="AA11:AA13" si="9">Z11*10</f>
        <v>1788894.1454222228</v>
      </c>
    </row>
    <row r="12" spans="1:27" x14ac:dyDescent="0.4">
      <c r="A12" t="s">
        <v>7</v>
      </c>
      <c r="B12">
        <v>2.7400000000000001E-2</v>
      </c>
      <c r="C12" t="s">
        <v>9</v>
      </c>
      <c r="D12">
        <f t="shared" si="0"/>
        <v>7.6111111111111113E-6</v>
      </c>
      <c r="E12" t="s">
        <v>22</v>
      </c>
      <c r="F12">
        <v>0</v>
      </c>
      <c r="G12" t="s">
        <v>34</v>
      </c>
      <c r="H12">
        <v>11000</v>
      </c>
      <c r="I12" t="s">
        <v>17</v>
      </c>
      <c r="O12" s="9" t="s">
        <v>26</v>
      </c>
      <c r="P12" s="5">
        <f>D12*$O$8</f>
        <v>5.3266817777777777E-3</v>
      </c>
      <c r="Q12" s="5">
        <f t="shared" si="1"/>
        <v>3221.5771391999997</v>
      </c>
      <c r="R12" s="5">
        <f t="shared" si="2"/>
        <v>12886.308556799999</v>
      </c>
      <c r="S12" s="5">
        <f t="shared" si="3"/>
        <v>167522.01123839998</v>
      </c>
      <c r="T12" s="6">
        <f t="shared" si="4"/>
        <v>1675220.1123839999</v>
      </c>
      <c r="V12" s="9" t="s">
        <v>26</v>
      </c>
      <c r="W12" s="21">
        <f t="shared" si="5"/>
        <v>5.1193170370370366E-3</v>
      </c>
      <c r="X12" s="21">
        <f t="shared" si="6"/>
        <v>2064.1086293333333</v>
      </c>
      <c r="Y12" s="21">
        <f t="shared" si="7"/>
        <v>8256.4345173333331</v>
      </c>
      <c r="Z12" s="21">
        <f t="shared" si="8"/>
        <v>107333.64872533333</v>
      </c>
      <c r="AA12" s="22">
        <f t="shared" si="9"/>
        <v>1073336.4872533334</v>
      </c>
    </row>
    <row r="13" spans="1:27" x14ac:dyDescent="0.4">
      <c r="A13" t="s">
        <v>12</v>
      </c>
      <c r="B13" s="1">
        <v>9.7600000000000006E-2</v>
      </c>
      <c r="C13" t="s">
        <v>16</v>
      </c>
      <c r="D13">
        <f t="shared" si="0"/>
        <v>2.7111111111111114E-5</v>
      </c>
      <c r="E13" t="s">
        <v>22</v>
      </c>
      <c r="F13">
        <v>0</v>
      </c>
      <c r="G13" t="s">
        <v>34</v>
      </c>
      <c r="H13">
        <v>3312</v>
      </c>
      <c r="I13" t="s">
        <v>19</v>
      </c>
      <c r="O13" s="10" t="s">
        <v>27</v>
      </c>
      <c r="P13" s="7">
        <f>D13*$O$8</f>
        <v>1.8973873777777778E-2</v>
      </c>
      <c r="Q13" s="7">
        <f t="shared" si="1"/>
        <v>11475.3988608</v>
      </c>
      <c r="R13" s="7">
        <f t="shared" si="2"/>
        <v>45901.5954432</v>
      </c>
      <c r="S13" s="7">
        <f t="shared" si="3"/>
        <v>596720.74076159997</v>
      </c>
      <c r="T13" s="8">
        <f t="shared" si="4"/>
        <v>5967207.4076159997</v>
      </c>
      <c r="V13" s="10" t="s">
        <v>27</v>
      </c>
      <c r="W13" s="23">
        <f t="shared" si="5"/>
        <v>-1.516354666666667E-2</v>
      </c>
      <c r="X13" s="23">
        <f t="shared" si="6"/>
        <v>-6113.9420160000009</v>
      </c>
      <c r="Y13" s="23">
        <f t="shared" si="7"/>
        <v>-24455.768064000004</v>
      </c>
      <c r="Z13" s="23">
        <f t="shared" si="8"/>
        <v>-317924.98483200005</v>
      </c>
      <c r="AA13" s="24">
        <f t="shared" si="9"/>
        <v>-3179249.8483200003</v>
      </c>
    </row>
    <row r="15" spans="1:27" x14ac:dyDescent="0.4">
      <c r="A15" t="s">
        <v>42</v>
      </c>
      <c r="B15" t="s">
        <v>43</v>
      </c>
    </row>
    <row r="16" spans="1:27" x14ac:dyDescent="0.4">
      <c r="A16" t="s">
        <v>3</v>
      </c>
      <c r="B16">
        <v>90</v>
      </c>
      <c r="C16" t="s">
        <v>10</v>
      </c>
      <c r="O16" s="41" t="s">
        <v>35</v>
      </c>
      <c r="P16" s="42"/>
      <c r="Q16" s="42"/>
      <c r="R16" s="42"/>
      <c r="S16" s="42"/>
      <c r="T16" s="43"/>
    </row>
    <row r="17" spans="1:77" x14ac:dyDescent="0.4">
      <c r="A17" t="s">
        <v>0</v>
      </c>
      <c r="B17">
        <v>1.17</v>
      </c>
      <c r="C17" t="s">
        <v>8</v>
      </c>
      <c r="O17" s="4"/>
      <c r="P17" s="18" t="s">
        <v>33</v>
      </c>
      <c r="Q17" s="19" t="s">
        <v>28</v>
      </c>
      <c r="R17" s="19" t="s">
        <v>29</v>
      </c>
      <c r="S17" s="19" t="s">
        <v>30</v>
      </c>
      <c r="T17" s="20" t="s">
        <v>31</v>
      </c>
    </row>
    <row r="18" spans="1:77" x14ac:dyDescent="0.4">
      <c r="A18" t="s">
        <v>1</v>
      </c>
      <c r="B18">
        <v>3266</v>
      </c>
      <c r="C18" t="s">
        <v>11</v>
      </c>
      <c r="O18" s="2" t="s">
        <v>23</v>
      </c>
      <c r="P18" s="14">
        <f>($O$8*0.001) *F9 * 0.001 * 0.001</f>
        <v>3.6392512E-5</v>
      </c>
      <c r="Q18" s="14">
        <f>P18*3600*16*7</f>
        <v>14.6734608384</v>
      </c>
      <c r="R18" s="14">
        <f>Q18*4</f>
        <v>58.693843353600002</v>
      </c>
      <c r="S18" s="14">
        <f>Q18*52</f>
        <v>763.01996359680004</v>
      </c>
      <c r="T18" s="15">
        <f>S18*10</f>
        <v>7630.1996359680006</v>
      </c>
    </row>
    <row r="19" spans="1:77" x14ac:dyDescent="0.4">
      <c r="A19" t="s">
        <v>2</v>
      </c>
      <c r="B19">
        <v>489</v>
      </c>
      <c r="C19" t="s">
        <v>11</v>
      </c>
      <c r="O19" s="9" t="s">
        <v>24</v>
      </c>
      <c r="P19" s="14">
        <f>($O$8*0.001) *F10 * 0.001 * 0.001</f>
        <v>0</v>
      </c>
      <c r="Q19" s="14">
        <f t="shared" ref="Q19:Q22" si="10">P19*3600*16*7</f>
        <v>0</v>
      </c>
      <c r="R19" s="14">
        <f t="shared" ref="R19:R22" si="11">Q19*4</f>
        <v>0</v>
      </c>
      <c r="S19" s="14">
        <f t="shared" ref="S19:S22" si="12">Q19*52</f>
        <v>0</v>
      </c>
      <c r="T19" s="15">
        <f t="shared" ref="T19:T22" si="13">S19*10</f>
        <v>0</v>
      </c>
    </row>
    <row r="20" spans="1:77" x14ac:dyDescent="0.4">
      <c r="O20" s="9" t="s">
        <v>25</v>
      </c>
      <c r="P20" s="14">
        <f>($O$8*0.001) *F11 * 0.001 * 0.001</f>
        <v>5.5988480000000001E-6</v>
      </c>
      <c r="Q20" s="14">
        <f t="shared" si="10"/>
        <v>2.2574555136000001</v>
      </c>
      <c r="R20" s="14">
        <f t="shared" si="11"/>
        <v>9.0298220544000003</v>
      </c>
      <c r="S20" s="14">
        <f t="shared" si="12"/>
        <v>117.3876867072</v>
      </c>
      <c r="T20" s="15">
        <f t="shared" si="13"/>
        <v>1173.8768670720001</v>
      </c>
    </row>
    <row r="21" spans="1:77" x14ac:dyDescent="0.4">
      <c r="A21" t="s">
        <v>42</v>
      </c>
      <c r="B21" t="s">
        <v>46</v>
      </c>
      <c r="O21" s="9" t="s">
        <v>26</v>
      </c>
      <c r="P21" s="14">
        <f>($O$8*0.001) *F12 * 0.001 * 0.001</f>
        <v>0</v>
      </c>
      <c r="Q21" s="14">
        <f t="shared" si="10"/>
        <v>0</v>
      </c>
      <c r="R21" s="14">
        <f t="shared" si="11"/>
        <v>0</v>
      </c>
      <c r="S21" s="14">
        <f t="shared" si="12"/>
        <v>0</v>
      </c>
      <c r="T21" s="15">
        <f t="shared" si="13"/>
        <v>0</v>
      </c>
    </row>
    <row r="22" spans="1:77" x14ac:dyDescent="0.4">
      <c r="A22" t="s">
        <v>3</v>
      </c>
      <c r="B22">
        <v>90</v>
      </c>
      <c r="C22" t="s">
        <v>10</v>
      </c>
      <c r="O22" s="10" t="s">
        <v>27</v>
      </c>
      <c r="P22" s="16">
        <f>($O$8*0.001) *F13 * 0.001 * 0.001</f>
        <v>0</v>
      </c>
      <c r="Q22" s="16">
        <f t="shared" si="10"/>
        <v>0</v>
      </c>
      <c r="R22" s="16">
        <f t="shared" si="11"/>
        <v>0</v>
      </c>
      <c r="S22" s="16">
        <f t="shared" si="12"/>
        <v>0</v>
      </c>
      <c r="T22" s="17">
        <f t="shared" si="13"/>
        <v>0</v>
      </c>
    </row>
    <row r="23" spans="1:77" x14ac:dyDescent="0.4">
      <c r="A23" t="s">
        <v>0</v>
      </c>
      <c r="B23">
        <v>0.96</v>
      </c>
      <c r="C23" t="s">
        <v>8</v>
      </c>
    </row>
    <row r="24" spans="1:77" x14ac:dyDescent="0.4">
      <c r="A24" t="s">
        <v>1</v>
      </c>
      <c r="B24">
        <v>3262</v>
      </c>
      <c r="C24" t="s">
        <v>11</v>
      </c>
    </row>
    <row r="25" spans="1:77" x14ac:dyDescent="0.4">
      <c r="A25" t="s">
        <v>2</v>
      </c>
      <c r="B25">
        <v>483</v>
      </c>
      <c r="C25" t="s">
        <v>11</v>
      </c>
    </row>
    <row r="28" spans="1:77" x14ac:dyDescent="0.4">
      <c r="Q28" t="s">
        <v>13</v>
      </c>
    </row>
    <row r="29" spans="1:77" x14ac:dyDescent="0.4">
      <c r="D29" t="s">
        <v>44</v>
      </c>
      <c r="P29" t="s">
        <v>41</v>
      </c>
    </row>
    <row r="30" spans="1:77" x14ac:dyDescent="0.4">
      <c r="D30" s="2" t="s">
        <v>36</v>
      </c>
      <c r="E30" s="41" t="s">
        <v>37</v>
      </c>
      <c r="F30" s="42"/>
      <c r="G30" s="42"/>
      <c r="H30" s="42"/>
      <c r="I30" s="43"/>
      <c r="Q30">
        <v>1</v>
      </c>
      <c r="R30">
        <v>4</v>
      </c>
      <c r="S30">
        <v>8</v>
      </c>
      <c r="T30">
        <v>12</v>
      </c>
      <c r="U30">
        <v>16</v>
      </c>
      <c r="V30">
        <v>20</v>
      </c>
      <c r="W30">
        <v>24</v>
      </c>
      <c r="X30">
        <v>28</v>
      </c>
      <c r="Y30">
        <v>32</v>
      </c>
      <c r="Z30">
        <v>36</v>
      </c>
      <c r="AA30">
        <v>40</v>
      </c>
      <c r="AB30">
        <v>44</v>
      </c>
      <c r="AC30">
        <v>48</v>
      </c>
      <c r="AD30">
        <v>52</v>
      </c>
      <c r="AE30">
        <v>56</v>
      </c>
      <c r="AF30">
        <v>60</v>
      </c>
      <c r="AG30">
        <v>64</v>
      </c>
      <c r="AH30">
        <v>68</v>
      </c>
      <c r="AI30">
        <v>72</v>
      </c>
      <c r="AJ30">
        <v>76</v>
      </c>
      <c r="AK30">
        <v>80</v>
      </c>
      <c r="AL30">
        <v>84</v>
      </c>
      <c r="AM30">
        <v>88</v>
      </c>
      <c r="AN30">
        <v>92</v>
      </c>
      <c r="AO30">
        <v>96</v>
      </c>
      <c r="AP30">
        <v>100</v>
      </c>
      <c r="AQ30">
        <v>104</v>
      </c>
      <c r="AR30">
        <v>108</v>
      </c>
      <c r="AS30">
        <v>112</v>
      </c>
      <c r="AT30">
        <v>116</v>
      </c>
      <c r="AU30">
        <v>120</v>
      </c>
      <c r="AV30">
        <v>124</v>
      </c>
      <c r="AW30">
        <v>128</v>
      </c>
      <c r="AX30">
        <v>132</v>
      </c>
      <c r="AY30">
        <v>136</v>
      </c>
      <c r="AZ30">
        <v>140</v>
      </c>
      <c r="BA30">
        <v>144</v>
      </c>
      <c r="BB30">
        <v>148</v>
      </c>
      <c r="BC30">
        <v>152</v>
      </c>
      <c r="BD30">
        <v>156</v>
      </c>
      <c r="BE30">
        <v>160</v>
      </c>
      <c r="BF30">
        <v>164</v>
      </c>
      <c r="BG30">
        <v>168</v>
      </c>
      <c r="BH30">
        <v>172</v>
      </c>
      <c r="BI30">
        <v>176</v>
      </c>
      <c r="BJ30">
        <v>180</v>
      </c>
      <c r="BK30">
        <v>184</v>
      </c>
      <c r="BL30">
        <v>188</v>
      </c>
      <c r="BM30">
        <v>192</v>
      </c>
      <c r="BN30">
        <v>196</v>
      </c>
      <c r="BO30">
        <v>200</v>
      </c>
      <c r="BP30">
        <v>204</v>
      </c>
      <c r="BQ30">
        <v>208</v>
      </c>
      <c r="BR30">
        <v>212</v>
      </c>
      <c r="BS30">
        <v>216</v>
      </c>
      <c r="BT30">
        <v>220</v>
      </c>
      <c r="BU30">
        <v>224</v>
      </c>
      <c r="BV30">
        <v>228</v>
      </c>
      <c r="BW30">
        <v>232</v>
      </c>
      <c r="BX30">
        <v>236</v>
      </c>
      <c r="BY30">
        <v>240</v>
      </c>
    </row>
    <row r="31" spans="1:77" x14ac:dyDescent="0.4">
      <c r="D31" s="3">
        <f>B17*(B18-B19)</f>
        <v>3249.0899999999997</v>
      </c>
      <c r="E31" s="11" t="s">
        <v>32</v>
      </c>
      <c r="F31" s="12" t="s">
        <v>28</v>
      </c>
      <c r="G31" s="12" t="s">
        <v>29</v>
      </c>
      <c r="H31" s="12" t="s">
        <v>30</v>
      </c>
      <c r="I31" s="13" t="s">
        <v>31</v>
      </c>
      <c r="P31" s="9" t="s">
        <v>24</v>
      </c>
      <c r="Q31">
        <v>-16861.241799111114</v>
      </c>
      <c r="R31">
        <f>$Q31*R$30</f>
        <v>-67444.967196444457</v>
      </c>
      <c r="S31">
        <f t="shared" ref="S31:BY34" si="14">$Q31*S$30</f>
        <v>-134889.93439288891</v>
      </c>
      <c r="T31">
        <f t="shared" si="14"/>
        <v>-202334.90158933337</v>
      </c>
      <c r="U31">
        <f t="shared" si="14"/>
        <v>-269779.86878577783</v>
      </c>
      <c r="V31">
        <f t="shared" si="14"/>
        <v>-337224.83598222228</v>
      </c>
      <c r="W31">
        <f t="shared" si="14"/>
        <v>-404669.80317866674</v>
      </c>
      <c r="X31">
        <f t="shared" si="14"/>
        <v>-472114.7703751112</v>
      </c>
      <c r="Y31">
        <f t="shared" si="14"/>
        <v>-539559.73757155566</v>
      </c>
      <c r="Z31">
        <f t="shared" si="14"/>
        <v>-607004.70476800017</v>
      </c>
      <c r="AA31">
        <f t="shared" si="14"/>
        <v>-674449.67196444457</v>
      </c>
      <c r="AB31">
        <f t="shared" si="14"/>
        <v>-741894.63916088897</v>
      </c>
      <c r="AC31">
        <f t="shared" si="14"/>
        <v>-809339.60635733348</v>
      </c>
      <c r="AD31">
        <f t="shared" si="14"/>
        <v>-876784.573553778</v>
      </c>
      <c r="AE31">
        <f t="shared" si="14"/>
        <v>-944229.5407502224</v>
      </c>
      <c r="AF31">
        <f t="shared" si="14"/>
        <v>-1011674.5079466668</v>
      </c>
      <c r="AG31">
        <f t="shared" si="14"/>
        <v>-1079119.4751431113</v>
      </c>
      <c r="AH31">
        <f t="shared" si="14"/>
        <v>-1146564.4423395558</v>
      </c>
      <c r="AI31">
        <f t="shared" si="14"/>
        <v>-1214009.4095360003</v>
      </c>
      <c r="AJ31">
        <f t="shared" si="14"/>
        <v>-1281454.3767324446</v>
      </c>
      <c r="AK31">
        <f t="shared" si="14"/>
        <v>-1348899.3439288891</v>
      </c>
      <c r="AL31">
        <f t="shared" si="14"/>
        <v>-1416344.3111253337</v>
      </c>
      <c r="AM31">
        <f t="shared" si="14"/>
        <v>-1483789.2783217779</v>
      </c>
      <c r="AN31">
        <f t="shared" si="14"/>
        <v>-1551234.2455182225</v>
      </c>
      <c r="AO31">
        <f t="shared" si="14"/>
        <v>-1618679.212714667</v>
      </c>
      <c r="AP31">
        <f t="shared" si="14"/>
        <v>-1686124.1799111115</v>
      </c>
      <c r="AQ31">
        <f t="shared" si="14"/>
        <v>-1753569.147107556</v>
      </c>
      <c r="AR31">
        <f t="shared" si="14"/>
        <v>-1821014.1143040003</v>
      </c>
      <c r="AS31">
        <f t="shared" si="14"/>
        <v>-1888459.0815004448</v>
      </c>
      <c r="AT31">
        <f t="shared" si="14"/>
        <v>-1955904.0486968893</v>
      </c>
      <c r="AU31">
        <f t="shared" si="14"/>
        <v>-2023349.0158933336</v>
      </c>
      <c r="AV31">
        <f t="shared" si="14"/>
        <v>-2090793.9830897781</v>
      </c>
      <c r="AW31">
        <f t="shared" si="14"/>
        <v>-2158238.9502862226</v>
      </c>
      <c r="AX31">
        <f t="shared" si="14"/>
        <v>-2225683.9174826671</v>
      </c>
      <c r="AY31">
        <f t="shared" si="14"/>
        <v>-2293128.8846791117</v>
      </c>
      <c r="AZ31">
        <f t="shared" si="14"/>
        <v>-2360573.8518755562</v>
      </c>
      <c r="BA31">
        <f t="shared" si="14"/>
        <v>-2428018.8190720007</v>
      </c>
      <c r="BB31">
        <f t="shared" si="14"/>
        <v>-2495463.7862684447</v>
      </c>
      <c r="BC31">
        <f t="shared" si="14"/>
        <v>-2562908.7534648892</v>
      </c>
      <c r="BD31">
        <f t="shared" si="14"/>
        <v>-2630353.7206613338</v>
      </c>
      <c r="BE31">
        <f t="shared" si="14"/>
        <v>-2697798.6878577783</v>
      </c>
      <c r="BF31">
        <f t="shared" si="14"/>
        <v>-2765243.6550542228</v>
      </c>
      <c r="BG31">
        <f t="shared" si="14"/>
        <v>-2832688.6222506673</v>
      </c>
      <c r="BH31">
        <f t="shared" si="14"/>
        <v>-2900133.5894471118</v>
      </c>
      <c r="BI31">
        <f t="shared" si="14"/>
        <v>-2967578.5566435559</v>
      </c>
      <c r="BJ31">
        <f t="shared" si="14"/>
        <v>-3035023.5238400004</v>
      </c>
      <c r="BK31">
        <f t="shared" si="14"/>
        <v>-3102468.4910364449</v>
      </c>
      <c r="BL31">
        <f t="shared" si="14"/>
        <v>-3169913.4582328894</v>
      </c>
      <c r="BM31">
        <f t="shared" si="14"/>
        <v>-3237358.4254293339</v>
      </c>
      <c r="BN31">
        <f t="shared" si="14"/>
        <v>-3304803.3926257784</v>
      </c>
      <c r="BO31">
        <f t="shared" si="14"/>
        <v>-3372248.359822223</v>
      </c>
      <c r="BP31">
        <f t="shared" si="14"/>
        <v>-3439693.3270186675</v>
      </c>
      <c r="BQ31">
        <f t="shared" si="14"/>
        <v>-3507138.294215112</v>
      </c>
      <c r="BR31">
        <f t="shared" si="14"/>
        <v>-3574583.261411556</v>
      </c>
      <c r="BS31">
        <f t="shared" si="14"/>
        <v>-3642028.2286080006</v>
      </c>
      <c r="BT31">
        <f t="shared" si="14"/>
        <v>-3709473.1958044451</v>
      </c>
      <c r="BU31">
        <f t="shared" si="14"/>
        <v>-3776918.1630008896</v>
      </c>
      <c r="BV31">
        <f t="shared" si="14"/>
        <v>-3844363.1301973341</v>
      </c>
      <c r="BW31">
        <f t="shared" si="14"/>
        <v>-3911808.0973937786</v>
      </c>
      <c r="BX31">
        <f t="shared" si="14"/>
        <v>-3979253.0645902231</v>
      </c>
      <c r="BY31">
        <f t="shared" si="14"/>
        <v>-4046698.0317866672</v>
      </c>
    </row>
    <row r="32" spans="1:77" x14ac:dyDescent="0.4">
      <c r="D32" s="2" t="s">
        <v>23</v>
      </c>
      <c r="E32" s="5">
        <f>$D9*$D$31</f>
        <v>3.8086554999999994E-2</v>
      </c>
      <c r="F32" s="5">
        <f>E32*3600*24*7</f>
        <v>23034.748464</v>
      </c>
      <c r="G32" s="5">
        <f>F32*4</f>
        <v>92138.993856000001</v>
      </c>
      <c r="H32" s="5">
        <f>F32*52</f>
        <v>1197806.920128</v>
      </c>
      <c r="I32" s="6">
        <f>H32*10</f>
        <v>11978069.20128</v>
      </c>
      <c r="P32" s="9" t="s">
        <v>25</v>
      </c>
      <c r="Q32">
        <v>13760.72419555556</v>
      </c>
      <c r="R32">
        <f t="shared" ref="R32:AG34" si="15">$Q32*R$30</f>
        <v>55042.89678222224</v>
      </c>
      <c r="S32">
        <f t="shared" si="15"/>
        <v>110085.79356444448</v>
      </c>
      <c r="T32">
        <f t="shared" si="15"/>
        <v>165128.69034666673</v>
      </c>
      <c r="U32">
        <f t="shared" si="15"/>
        <v>220171.58712888896</v>
      </c>
      <c r="V32">
        <f t="shared" si="15"/>
        <v>275214.48391111119</v>
      </c>
      <c r="W32">
        <f t="shared" si="15"/>
        <v>330257.38069333346</v>
      </c>
      <c r="X32">
        <f t="shared" si="15"/>
        <v>385300.27747555566</v>
      </c>
      <c r="Y32">
        <f t="shared" si="15"/>
        <v>440343.17425777792</v>
      </c>
      <c r="Z32">
        <f t="shared" si="15"/>
        <v>495386.07104000018</v>
      </c>
      <c r="AA32">
        <f t="shared" si="15"/>
        <v>550428.96782222239</v>
      </c>
      <c r="AB32">
        <f t="shared" si="15"/>
        <v>605471.86460444459</v>
      </c>
      <c r="AC32">
        <f t="shared" si="15"/>
        <v>660514.76138666691</v>
      </c>
      <c r="AD32">
        <f t="shared" si="15"/>
        <v>715557.65816888912</v>
      </c>
      <c r="AE32">
        <f t="shared" si="15"/>
        <v>770600.55495111132</v>
      </c>
      <c r="AF32">
        <f t="shared" si="15"/>
        <v>825643.45173333364</v>
      </c>
      <c r="AG32">
        <f t="shared" si="15"/>
        <v>880686.34851555584</v>
      </c>
      <c r="AH32">
        <f t="shared" si="14"/>
        <v>935729.24529777805</v>
      </c>
      <c r="AI32">
        <f t="shared" si="14"/>
        <v>990772.14208000037</v>
      </c>
      <c r="AJ32">
        <f t="shared" si="14"/>
        <v>1045815.0388622226</v>
      </c>
      <c r="AK32">
        <f t="shared" si="14"/>
        <v>1100857.9356444448</v>
      </c>
      <c r="AL32">
        <f t="shared" si="14"/>
        <v>1155900.832426667</v>
      </c>
      <c r="AM32">
        <f t="shared" si="14"/>
        <v>1210943.7292088892</v>
      </c>
      <c r="AN32">
        <f t="shared" si="14"/>
        <v>1265986.6259911116</v>
      </c>
      <c r="AO32">
        <f t="shared" si="14"/>
        <v>1321029.5227733338</v>
      </c>
      <c r="AP32">
        <f t="shared" si="14"/>
        <v>1376072.419555556</v>
      </c>
      <c r="AQ32">
        <f t="shared" si="14"/>
        <v>1431115.3163377782</v>
      </c>
      <c r="AR32">
        <f t="shared" si="14"/>
        <v>1486158.2131200004</v>
      </c>
      <c r="AS32">
        <f t="shared" si="14"/>
        <v>1541201.1099022226</v>
      </c>
      <c r="AT32">
        <f t="shared" si="14"/>
        <v>1596244.0066844451</v>
      </c>
      <c r="AU32">
        <f t="shared" si="14"/>
        <v>1651286.9034666673</v>
      </c>
      <c r="AV32">
        <f t="shared" si="14"/>
        <v>1706329.8002488895</v>
      </c>
      <c r="AW32">
        <f t="shared" si="14"/>
        <v>1761372.6970311117</v>
      </c>
      <c r="AX32">
        <f t="shared" si="14"/>
        <v>1816415.5938133339</v>
      </c>
      <c r="AY32">
        <f t="shared" si="14"/>
        <v>1871458.4905955561</v>
      </c>
      <c r="AZ32">
        <f t="shared" si="14"/>
        <v>1926501.3873777783</v>
      </c>
      <c r="BA32">
        <f t="shared" si="14"/>
        <v>1981544.2841600007</v>
      </c>
      <c r="BB32">
        <f t="shared" si="14"/>
        <v>2036587.1809422229</v>
      </c>
      <c r="BC32">
        <f t="shared" si="14"/>
        <v>2091630.0777244451</v>
      </c>
      <c r="BD32">
        <f t="shared" si="14"/>
        <v>2146672.9745066673</v>
      </c>
      <c r="BE32">
        <f t="shared" si="14"/>
        <v>2201715.8712888896</v>
      </c>
      <c r="BF32">
        <f t="shared" si="14"/>
        <v>2256758.7680711118</v>
      </c>
      <c r="BG32">
        <f t="shared" si="14"/>
        <v>2311801.664853334</v>
      </c>
      <c r="BH32">
        <f t="shared" si="14"/>
        <v>2366844.5616355562</v>
      </c>
      <c r="BI32">
        <f t="shared" si="14"/>
        <v>2421887.4584177784</v>
      </c>
      <c r="BJ32">
        <f t="shared" si="14"/>
        <v>2476930.355200001</v>
      </c>
      <c r="BK32">
        <f t="shared" si="14"/>
        <v>2531973.2519822232</v>
      </c>
      <c r="BL32">
        <f t="shared" si="14"/>
        <v>2587016.1487644454</v>
      </c>
      <c r="BM32">
        <f t="shared" si="14"/>
        <v>2642059.0455466677</v>
      </c>
      <c r="BN32">
        <f t="shared" si="14"/>
        <v>2697101.9423288899</v>
      </c>
      <c r="BO32">
        <f t="shared" si="14"/>
        <v>2752144.8391111121</v>
      </c>
      <c r="BP32">
        <f t="shared" si="14"/>
        <v>2807187.7358933343</v>
      </c>
      <c r="BQ32">
        <f t="shared" si="14"/>
        <v>2862230.6326755565</v>
      </c>
      <c r="BR32">
        <f t="shared" si="14"/>
        <v>2917273.5294577787</v>
      </c>
      <c r="BS32">
        <f t="shared" si="14"/>
        <v>2972316.4262400009</v>
      </c>
      <c r="BT32">
        <f t="shared" si="14"/>
        <v>3027359.3230222231</v>
      </c>
      <c r="BU32">
        <f t="shared" si="14"/>
        <v>3082402.2198044453</v>
      </c>
      <c r="BV32">
        <f t="shared" si="14"/>
        <v>3137445.1165866675</v>
      </c>
      <c r="BW32">
        <f t="shared" si="14"/>
        <v>3192488.0133688902</v>
      </c>
      <c r="BX32">
        <f t="shared" si="14"/>
        <v>3247530.9101511124</v>
      </c>
      <c r="BY32">
        <f t="shared" si="14"/>
        <v>3302573.8069333346</v>
      </c>
    </row>
    <row r="33" spans="4:77" x14ac:dyDescent="0.4">
      <c r="D33" s="9" t="s">
        <v>24</v>
      </c>
      <c r="E33" s="5">
        <f t="shared" ref="E33:E36" si="16">$D10*$D$31</f>
        <v>8.1768764999999993E-2</v>
      </c>
      <c r="F33" s="5">
        <f t="shared" ref="F33:F36" si="17">E33*3600*24*7</f>
        <v>49453.749071999999</v>
      </c>
      <c r="G33" s="5">
        <f t="shared" ref="G33:G36" si="18">F33*4</f>
        <v>197814.99628799999</v>
      </c>
      <c r="H33" s="5">
        <f t="shared" ref="H33:H36" si="19">F33*52</f>
        <v>2571594.951744</v>
      </c>
      <c r="I33" s="6">
        <f t="shared" ref="I33:I36" si="20">H33*10</f>
        <v>25715949.517439999</v>
      </c>
      <c r="P33" s="9" t="s">
        <v>26</v>
      </c>
      <c r="Q33">
        <v>8256.4345173333331</v>
      </c>
      <c r="R33">
        <f t="shared" si="15"/>
        <v>33025.738069333333</v>
      </c>
      <c r="S33">
        <f t="shared" si="14"/>
        <v>66051.476138666665</v>
      </c>
      <c r="T33">
        <f t="shared" si="14"/>
        <v>99077.21420799999</v>
      </c>
      <c r="U33">
        <f t="shared" si="14"/>
        <v>132102.95227733333</v>
      </c>
      <c r="V33">
        <f t="shared" si="14"/>
        <v>165128.69034666667</v>
      </c>
      <c r="W33">
        <f t="shared" si="14"/>
        <v>198154.42841599998</v>
      </c>
      <c r="X33">
        <f t="shared" si="14"/>
        <v>231180.16648533332</v>
      </c>
      <c r="Y33">
        <f t="shared" si="14"/>
        <v>264205.90455466666</v>
      </c>
      <c r="Z33">
        <f t="shared" si="14"/>
        <v>297231.64262399997</v>
      </c>
      <c r="AA33">
        <f t="shared" si="14"/>
        <v>330257.38069333334</v>
      </c>
      <c r="AB33">
        <f t="shared" si="14"/>
        <v>363283.11876266665</v>
      </c>
      <c r="AC33">
        <f t="shared" si="14"/>
        <v>396308.85683199996</v>
      </c>
      <c r="AD33">
        <f t="shared" si="14"/>
        <v>429334.59490133333</v>
      </c>
      <c r="AE33">
        <f t="shared" si="14"/>
        <v>462360.33297066664</v>
      </c>
      <c r="AF33">
        <f t="shared" si="14"/>
        <v>495386.07104000001</v>
      </c>
      <c r="AG33">
        <f t="shared" si="14"/>
        <v>528411.80910933332</v>
      </c>
      <c r="AH33">
        <f t="shared" si="14"/>
        <v>561437.54717866669</v>
      </c>
      <c r="AI33">
        <f t="shared" si="14"/>
        <v>594463.28524799994</v>
      </c>
      <c r="AJ33">
        <f t="shared" si="14"/>
        <v>627489.02331733331</v>
      </c>
      <c r="AK33">
        <f t="shared" si="14"/>
        <v>660514.76138666668</v>
      </c>
      <c r="AL33">
        <f t="shared" si="14"/>
        <v>693540.49945599993</v>
      </c>
      <c r="AM33">
        <f t="shared" si="14"/>
        <v>726566.2375253333</v>
      </c>
      <c r="AN33">
        <f t="shared" si="14"/>
        <v>759591.97559466667</v>
      </c>
      <c r="AO33">
        <f t="shared" si="14"/>
        <v>792617.71366399992</v>
      </c>
      <c r="AP33">
        <f t="shared" si="14"/>
        <v>825643.45173333329</v>
      </c>
      <c r="AQ33">
        <f t="shared" si="14"/>
        <v>858669.18980266666</v>
      </c>
      <c r="AR33">
        <f t="shared" si="14"/>
        <v>891694.92787200003</v>
      </c>
      <c r="AS33">
        <f t="shared" si="14"/>
        <v>924720.66594133328</v>
      </c>
      <c r="AT33">
        <f t="shared" si="14"/>
        <v>957746.40401066665</v>
      </c>
      <c r="AU33">
        <f t="shared" si="14"/>
        <v>990772.14208000002</v>
      </c>
      <c r="AV33">
        <f t="shared" si="14"/>
        <v>1023797.8801493333</v>
      </c>
      <c r="AW33">
        <f t="shared" si="14"/>
        <v>1056823.6182186666</v>
      </c>
      <c r="AX33">
        <f t="shared" si="14"/>
        <v>1089849.356288</v>
      </c>
      <c r="AY33">
        <f t="shared" si="14"/>
        <v>1122875.0943573334</v>
      </c>
      <c r="AZ33">
        <f t="shared" si="14"/>
        <v>1155900.8324266667</v>
      </c>
      <c r="BA33">
        <f t="shared" si="14"/>
        <v>1188926.5704959999</v>
      </c>
      <c r="BB33">
        <f t="shared" si="14"/>
        <v>1221952.3085653333</v>
      </c>
      <c r="BC33">
        <f t="shared" si="14"/>
        <v>1254978.0466346666</v>
      </c>
      <c r="BD33">
        <f t="shared" si="14"/>
        <v>1288003.784704</v>
      </c>
      <c r="BE33">
        <f t="shared" si="14"/>
        <v>1321029.5227733334</v>
      </c>
      <c r="BF33">
        <f t="shared" si="14"/>
        <v>1354055.2608426667</v>
      </c>
      <c r="BG33">
        <f t="shared" si="14"/>
        <v>1387080.9989119999</v>
      </c>
      <c r="BH33">
        <f t="shared" si="14"/>
        <v>1420106.7369813332</v>
      </c>
      <c r="BI33">
        <f t="shared" si="14"/>
        <v>1453132.4750506666</v>
      </c>
      <c r="BJ33">
        <f t="shared" si="14"/>
        <v>1486158.21312</v>
      </c>
      <c r="BK33">
        <f t="shared" si="14"/>
        <v>1519183.9511893333</v>
      </c>
      <c r="BL33">
        <f t="shared" si="14"/>
        <v>1552209.6892586667</v>
      </c>
      <c r="BM33">
        <f t="shared" si="14"/>
        <v>1585235.4273279998</v>
      </c>
      <c r="BN33">
        <f t="shared" si="14"/>
        <v>1618261.1653973332</v>
      </c>
      <c r="BO33">
        <f t="shared" si="14"/>
        <v>1651286.9034666666</v>
      </c>
      <c r="BP33">
        <f t="shared" si="14"/>
        <v>1684312.641536</v>
      </c>
      <c r="BQ33">
        <f t="shared" si="14"/>
        <v>1717338.3796053333</v>
      </c>
      <c r="BR33">
        <f t="shared" si="14"/>
        <v>1750364.1176746667</v>
      </c>
      <c r="BS33">
        <f t="shared" si="14"/>
        <v>1783389.8557440001</v>
      </c>
      <c r="BT33">
        <f t="shared" si="14"/>
        <v>1816415.5938133332</v>
      </c>
      <c r="BU33">
        <f t="shared" si="14"/>
        <v>1849441.3318826666</v>
      </c>
      <c r="BV33">
        <f t="shared" si="14"/>
        <v>1882467.0699519999</v>
      </c>
      <c r="BW33">
        <f t="shared" si="14"/>
        <v>1915492.8080213333</v>
      </c>
      <c r="BX33">
        <f t="shared" si="14"/>
        <v>1948518.5460906667</v>
      </c>
      <c r="BY33">
        <f t="shared" si="14"/>
        <v>1981544.28416</v>
      </c>
    </row>
    <row r="34" spans="4:77" x14ac:dyDescent="0.4">
      <c r="D34" s="9" t="s">
        <v>25</v>
      </c>
      <c r="E34" s="5">
        <f>$D11*$D$31</f>
        <v>4.61190275E-2</v>
      </c>
      <c r="F34" s="5">
        <f t="shared" si="17"/>
        <v>27892.787832000002</v>
      </c>
      <c r="G34" s="5">
        <f t="shared" si="18"/>
        <v>111571.15132800001</v>
      </c>
      <c r="H34" s="5">
        <f t="shared" si="19"/>
        <v>1450424.9672640001</v>
      </c>
      <c r="I34" s="6">
        <f t="shared" si="20"/>
        <v>14504249.672640001</v>
      </c>
      <c r="P34" s="10" t="s">
        <v>27</v>
      </c>
      <c r="Q34">
        <v>-24455.768064000004</v>
      </c>
      <c r="R34">
        <f t="shared" si="15"/>
        <v>-97823.072256000014</v>
      </c>
      <c r="S34">
        <f t="shared" si="14"/>
        <v>-195646.14451200003</v>
      </c>
      <c r="T34">
        <f t="shared" si="14"/>
        <v>-293469.21676800004</v>
      </c>
      <c r="U34">
        <f t="shared" si="14"/>
        <v>-391292.28902400006</v>
      </c>
      <c r="V34">
        <f t="shared" si="14"/>
        <v>-489115.36128000007</v>
      </c>
      <c r="W34">
        <f t="shared" si="14"/>
        <v>-586938.43353600008</v>
      </c>
      <c r="X34">
        <f t="shared" si="14"/>
        <v>-684761.5057920001</v>
      </c>
      <c r="Y34">
        <f t="shared" si="14"/>
        <v>-782584.57804800011</v>
      </c>
      <c r="Z34">
        <f t="shared" si="14"/>
        <v>-880407.65030400013</v>
      </c>
      <c r="AA34">
        <f t="shared" si="14"/>
        <v>-978230.72256000014</v>
      </c>
      <c r="AB34">
        <f t="shared" si="14"/>
        <v>-1076053.7948160002</v>
      </c>
      <c r="AC34">
        <f t="shared" si="14"/>
        <v>-1173876.8670720002</v>
      </c>
      <c r="AD34">
        <f t="shared" si="14"/>
        <v>-1271699.9393280002</v>
      </c>
      <c r="AE34">
        <f t="shared" si="14"/>
        <v>-1369523.0115840002</v>
      </c>
      <c r="AF34">
        <f t="shared" si="14"/>
        <v>-1467346.0838400002</v>
      </c>
      <c r="AG34">
        <f t="shared" si="14"/>
        <v>-1565169.1560960002</v>
      </c>
      <c r="AH34">
        <f t="shared" si="14"/>
        <v>-1662992.2283520002</v>
      </c>
      <c r="AI34">
        <f t="shared" si="14"/>
        <v>-1760815.3006080003</v>
      </c>
      <c r="AJ34">
        <f t="shared" si="14"/>
        <v>-1858638.3728640003</v>
      </c>
      <c r="AK34">
        <f t="shared" si="14"/>
        <v>-1956461.4451200003</v>
      </c>
      <c r="AL34">
        <f t="shared" si="14"/>
        <v>-2054284.5173760003</v>
      </c>
      <c r="AM34">
        <f t="shared" si="14"/>
        <v>-2152107.5896320003</v>
      </c>
      <c r="AN34">
        <f t="shared" si="14"/>
        <v>-2249930.6618880006</v>
      </c>
      <c r="AO34">
        <f t="shared" si="14"/>
        <v>-2347753.7341440003</v>
      </c>
      <c r="AP34">
        <f t="shared" si="14"/>
        <v>-2445576.8064000001</v>
      </c>
      <c r="AQ34">
        <f t="shared" si="14"/>
        <v>-2543399.8786560004</v>
      </c>
      <c r="AR34">
        <f t="shared" si="14"/>
        <v>-2641222.9509120006</v>
      </c>
      <c r="AS34">
        <f t="shared" si="14"/>
        <v>-2739046.0231680004</v>
      </c>
      <c r="AT34">
        <f t="shared" si="14"/>
        <v>-2836869.0954240002</v>
      </c>
      <c r="AU34">
        <f t="shared" si="14"/>
        <v>-2934692.1676800004</v>
      </c>
      <c r="AV34">
        <f t="shared" si="14"/>
        <v>-3032515.2399360007</v>
      </c>
      <c r="AW34">
        <f t="shared" si="14"/>
        <v>-3130338.3121920004</v>
      </c>
      <c r="AX34">
        <f t="shared" si="14"/>
        <v>-3228161.3844480002</v>
      </c>
      <c r="AY34">
        <f t="shared" si="14"/>
        <v>-3325984.4567040005</v>
      </c>
      <c r="AZ34">
        <f t="shared" si="14"/>
        <v>-3423807.5289600007</v>
      </c>
      <c r="BA34">
        <f t="shared" si="14"/>
        <v>-3521630.6012160005</v>
      </c>
      <c r="BB34">
        <f t="shared" si="14"/>
        <v>-3619453.6734720003</v>
      </c>
      <c r="BC34">
        <f t="shared" si="14"/>
        <v>-3717276.7457280005</v>
      </c>
      <c r="BD34">
        <f t="shared" si="14"/>
        <v>-3815099.8179840008</v>
      </c>
      <c r="BE34">
        <f t="shared" si="14"/>
        <v>-3912922.8902400006</v>
      </c>
      <c r="BF34">
        <f t="shared" si="14"/>
        <v>-4010745.9624960003</v>
      </c>
      <c r="BG34">
        <f t="shared" si="14"/>
        <v>-4108569.0347520006</v>
      </c>
      <c r="BH34">
        <f t="shared" si="14"/>
        <v>-4206392.1070080008</v>
      </c>
      <c r="BI34">
        <f t="shared" si="14"/>
        <v>-4304215.1792640006</v>
      </c>
      <c r="BJ34">
        <f t="shared" si="14"/>
        <v>-4402038.2515200004</v>
      </c>
      <c r="BK34">
        <f t="shared" si="14"/>
        <v>-4499861.3237760011</v>
      </c>
      <c r="BL34">
        <f t="shared" si="14"/>
        <v>-4597684.3960320009</v>
      </c>
      <c r="BM34">
        <f t="shared" si="14"/>
        <v>-4695507.4682880007</v>
      </c>
      <c r="BN34">
        <f t="shared" si="14"/>
        <v>-4793330.5405440005</v>
      </c>
      <c r="BO34">
        <f t="shared" si="14"/>
        <v>-4891153.6128000002</v>
      </c>
      <c r="BP34">
        <f t="shared" si="14"/>
        <v>-4988976.6850560009</v>
      </c>
      <c r="BQ34">
        <f t="shared" si="14"/>
        <v>-5086799.7573120007</v>
      </c>
      <c r="BR34">
        <f t="shared" si="14"/>
        <v>-5184622.8295680005</v>
      </c>
      <c r="BS34">
        <f t="shared" si="14"/>
        <v>-5282445.9018240012</v>
      </c>
      <c r="BT34">
        <f t="shared" si="14"/>
        <v>-5380268.974080001</v>
      </c>
      <c r="BU34">
        <f t="shared" si="14"/>
        <v>-5478092.0463360008</v>
      </c>
      <c r="BV34">
        <f t="shared" si="14"/>
        <v>-5575915.1185920006</v>
      </c>
      <c r="BW34">
        <f t="shared" si="14"/>
        <v>-5673738.1908480003</v>
      </c>
      <c r="BX34">
        <f t="shared" si="14"/>
        <v>-5771561.2631040011</v>
      </c>
      <c r="BY34">
        <f t="shared" si="14"/>
        <v>-5869384.3353600008</v>
      </c>
    </row>
    <row r="35" spans="4:77" x14ac:dyDescent="0.4">
      <c r="D35" s="9" t="s">
        <v>26</v>
      </c>
      <c r="E35" s="5">
        <f t="shared" si="16"/>
        <v>2.4729184999999997E-2</v>
      </c>
      <c r="F35" s="5">
        <f t="shared" si="17"/>
        <v>14956.211088</v>
      </c>
      <c r="G35" s="5">
        <f t="shared" si="18"/>
        <v>59824.844352</v>
      </c>
      <c r="H35" s="5">
        <f t="shared" si="19"/>
        <v>777722.97657599999</v>
      </c>
      <c r="I35" s="6">
        <f t="shared" si="20"/>
        <v>7777229.7657599999</v>
      </c>
    </row>
    <row r="36" spans="4:77" x14ac:dyDescent="0.4">
      <c r="D36" s="10" t="s">
        <v>27</v>
      </c>
      <c r="E36" s="7">
        <f t="shared" si="16"/>
        <v>8.8086440000000002E-2</v>
      </c>
      <c r="F36" s="7">
        <f t="shared" si="17"/>
        <v>53274.678911999996</v>
      </c>
      <c r="G36" s="7">
        <f t="shared" si="18"/>
        <v>213098.71564799998</v>
      </c>
      <c r="H36" s="7">
        <f t="shared" si="19"/>
        <v>2770283.3034239998</v>
      </c>
      <c r="I36" s="8">
        <f t="shared" si="20"/>
        <v>27702833.03424</v>
      </c>
      <c r="P36" s="2" t="s">
        <v>23</v>
      </c>
      <c r="Q36" s="14">
        <v>58.693843353600002</v>
      </c>
      <c r="R36">
        <f>$Q36*R$30</f>
        <v>234.77537341440001</v>
      </c>
      <c r="S36">
        <f t="shared" ref="S36:BY40" si="21">$Q36*S$30</f>
        <v>469.55074682880002</v>
      </c>
      <c r="T36">
        <f t="shared" si="21"/>
        <v>704.32612024319997</v>
      </c>
      <c r="U36">
        <f t="shared" si="21"/>
        <v>939.10149365760003</v>
      </c>
      <c r="V36">
        <f t="shared" si="21"/>
        <v>1173.8768670720001</v>
      </c>
      <c r="W36">
        <f t="shared" si="21"/>
        <v>1408.6522404863999</v>
      </c>
      <c r="X36">
        <f t="shared" si="21"/>
        <v>1643.4276139008</v>
      </c>
      <c r="Y36">
        <f t="shared" si="21"/>
        <v>1878.2029873152001</v>
      </c>
      <c r="Z36">
        <f t="shared" si="21"/>
        <v>2112.9783607295999</v>
      </c>
      <c r="AA36">
        <f t="shared" si="21"/>
        <v>2347.7537341440002</v>
      </c>
      <c r="AB36">
        <f t="shared" si="21"/>
        <v>2582.5291075584</v>
      </c>
      <c r="AC36">
        <f t="shared" si="21"/>
        <v>2817.3044809727999</v>
      </c>
      <c r="AD36">
        <f t="shared" si="21"/>
        <v>3052.0798543872002</v>
      </c>
      <c r="AE36">
        <f t="shared" si="21"/>
        <v>3286.8552278016</v>
      </c>
      <c r="AF36">
        <f t="shared" si="21"/>
        <v>3521.6306012160003</v>
      </c>
      <c r="AG36">
        <f t="shared" si="21"/>
        <v>3756.4059746304001</v>
      </c>
      <c r="AH36">
        <f t="shared" si="21"/>
        <v>3991.1813480448</v>
      </c>
      <c r="AI36">
        <f t="shared" si="21"/>
        <v>4225.9567214591998</v>
      </c>
      <c r="AJ36">
        <f t="shared" si="21"/>
        <v>4460.7320948736005</v>
      </c>
      <c r="AK36">
        <f t="shared" si="21"/>
        <v>4695.5074682880004</v>
      </c>
      <c r="AL36">
        <f t="shared" si="21"/>
        <v>4930.2828417024002</v>
      </c>
      <c r="AM36">
        <f t="shared" si="21"/>
        <v>5165.0582151168001</v>
      </c>
      <c r="AN36">
        <f t="shared" si="21"/>
        <v>5399.8335885311999</v>
      </c>
      <c r="AO36">
        <f t="shared" si="21"/>
        <v>5634.6089619455997</v>
      </c>
      <c r="AP36">
        <f t="shared" si="21"/>
        <v>5869.3843353600005</v>
      </c>
      <c r="AQ36">
        <f t="shared" si="21"/>
        <v>6104.1597087744003</v>
      </c>
      <c r="AR36">
        <f t="shared" si="21"/>
        <v>6338.9350821888002</v>
      </c>
      <c r="AS36">
        <f t="shared" si="21"/>
        <v>6573.7104556032</v>
      </c>
      <c r="AT36">
        <f t="shared" si="21"/>
        <v>6808.4858290175998</v>
      </c>
      <c r="AU36">
        <f t="shared" si="21"/>
        <v>7043.2612024320006</v>
      </c>
      <c r="AV36">
        <f t="shared" si="21"/>
        <v>7278.0365758464004</v>
      </c>
      <c r="AW36">
        <f t="shared" si="21"/>
        <v>7512.8119492608002</v>
      </c>
      <c r="AX36">
        <f t="shared" si="21"/>
        <v>7747.5873226752001</v>
      </c>
      <c r="AY36">
        <f t="shared" si="21"/>
        <v>7982.3626960895999</v>
      </c>
      <c r="AZ36">
        <f t="shared" si="21"/>
        <v>8217.1380695040007</v>
      </c>
      <c r="BA36">
        <f t="shared" si="21"/>
        <v>8451.9134429183996</v>
      </c>
      <c r="BB36">
        <f t="shared" si="21"/>
        <v>8686.6888163328003</v>
      </c>
      <c r="BC36">
        <f t="shared" si="21"/>
        <v>8921.4641897472011</v>
      </c>
      <c r="BD36">
        <f t="shared" si="21"/>
        <v>9156.2395631616</v>
      </c>
      <c r="BE36">
        <f t="shared" si="21"/>
        <v>9391.0149365760008</v>
      </c>
      <c r="BF36">
        <f t="shared" si="21"/>
        <v>9625.7903099903997</v>
      </c>
      <c r="BG36">
        <f t="shared" si="21"/>
        <v>9860.5656834048004</v>
      </c>
      <c r="BH36">
        <f t="shared" si="21"/>
        <v>10095.341056819201</v>
      </c>
      <c r="BI36">
        <f t="shared" si="21"/>
        <v>10330.1164302336</v>
      </c>
      <c r="BJ36">
        <f t="shared" si="21"/>
        <v>10564.891803648001</v>
      </c>
      <c r="BK36">
        <f t="shared" si="21"/>
        <v>10799.6671770624</v>
      </c>
      <c r="BL36">
        <f t="shared" si="21"/>
        <v>11034.442550476801</v>
      </c>
      <c r="BM36">
        <f t="shared" si="21"/>
        <v>11269.217923891199</v>
      </c>
      <c r="BN36">
        <f t="shared" si="21"/>
        <v>11503.9932973056</v>
      </c>
      <c r="BO36">
        <f t="shared" si="21"/>
        <v>11738.768670720001</v>
      </c>
      <c r="BP36">
        <f t="shared" si="21"/>
        <v>11973.5440441344</v>
      </c>
      <c r="BQ36">
        <f t="shared" si="21"/>
        <v>12208.319417548801</v>
      </c>
      <c r="BR36">
        <f t="shared" si="21"/>
        <v>12443.0947909632</v>
      </c>
      <c r="BS36">
        <f t="shared" si="21"/>
        <v>12677.8701643776</v>
      </c>
      <c r="BT36">
        <f t="shared" si="21"/>
        <v>12912.645537792001</v>
      </c>
      <c r="BU36">
        <f t="shared" si="21"/>
        <v>13147.4209112064</v>
      </c>
      <c r="BV36">
        <f t="shared" si="21"/>
        <v>13382.196284620801</v>
      </c>
      <c r="BW36">
        <f t="shared" si="21"/>
        <v>13616.9716580352</v>
      </c>
      <c r="BX36">
        <f t="shared" si="21"/>
        <v>13851.7470314496</v>
      </c>
      <c r="BY36">
        <f t="shared" si="21"/>
        <v>14086.522404864001</v>
      </c>
    </row>
    <row r="37" spans="4:77" x14ac:dyDescent="0.4">
      <c r="P37" s="9" t="s">
        <v>24</v>
      </c>
      <c r="Q37" s="14">
        <v>0</v>
      </c>
      <c r="R37">
        <f t="shared" ref="R37:AG40" si="22">$Q37*R$30</f>
        <v>0</v>
      </c>
      <c r="S37">
        <f t="shared" si="22"/>
        <v>0</v>
      </c>
      <c r="T37">
        <f t="shared" si="22"/>
        <v>0</v>
      </c>
      <c r="U37">
        <f t="shared" si="22"/>
        <v>0</v>
      </c>
      <c r="V37">
        <f t="shared" si="22"/>
        <v>0</v>
      </c>
      <c r="W37">
        <f t="shared" si="22"/>
        <v>0</v>
      </c>
      <c r="X37">
        <f t="shared" si="22"/>
        <v>0</v>
      </c>
      <c r="Y37">
        <f t="shared" si="22"/>
        <v>0</v>
      </c>
      <c r="Z37">
        <f t="shared" si="22"/>
        <v>0</v>
      </c>
      <c r="AA37">
        <f t="shared" si="22"/>
        <v>0</v>
      </c>
      <c r="AB37">
        <f t="shared" si="22"/>
        <v>0</v>
      </c>
      <c r="AC37">
        <f t="shared" si="22"/>
        <v>0</v>
      </c>
      <c r="AD37">
        <f t="shared" si="22"/>
        <v>0</v>
      </c>
      <c r="AE37">
        <f t="shared" si="22"/>
        <v>0</v>
      </c>
      <c r="AF37">
        <f t="shared" si="22"/>
        <v>0</v>
      </c>
      <c r="AG37">
        <f t="shared" si="22"/>
        <v>0</v>
      </c>
      <c r="AH37">
        <f t="shared" si="21"/>
        <v>0</v>
      </c>
      <c r="AI37">
        <f t="shared" si="21"/>
        <v>0</v>
      </c>
      <c r="AJ37">
        <f t="shared" si="21"/>
        <v>0</v>
      </c>
      <c r="AK37">
        <f t="shared" si="21"/>
        <v>0</v>
      </c>
      <c r="AL37">
        <f t="shared" si="21"/>
        <v>0</v>
      </c>
      <c r="AM37">
        <f t="shared" si="21"/>
        <v>0</v>
      </c>
      <c r="AN37">
        <f t="shared" si="21"/>
        <v>0</v>
      </c>
      <c r="AO37">
        <f t="shared" si="21"/>
        <v>0</v>
      </c>
      <c r="AP37">
        <f t="shared" si="21"/>
        <v>0</v>
      </c>
      <c r="AQ37">
        <f t="shared" si="21"/>
        <v>0</v>
      </c>
      <c r="AR37">
        <f t="shared" si="21"/>
        <v>0</v>
      </c>
      <c r="AS37">
        <f t="shared" si="21"/>
        <v>0</v>
      </c>
      <c r="AT37">
        <f t="shared" si="21"/>
        <v>0</v>
      </c>
      <c r="AU37">
        <f t="shared" si="21"/>
        <v>0</v>
      </c>
      <c r="AV37">
        <f t="shared" si="21"/>
        <v>0</v>
      </c>
      <c r="AW37">
        <f t="shared" si="21"/>
        <v>0</v>
      </c>
      <c r="AX37">
        <f t="shared" si="21"/>
        <v>0</v>
      </c>
      <c r="AY37">
        <f t="shared" si="21"/>
        <v>0</v>
      </c>
      <c r="AZ37">
        <f t="shared" si="21"/>
        <v>0</v>
      </c>
      <c r="BA37">
        <f t="shared" si="21"/>
        <v>0</v>
      </c>
      <c r="BB37">
        <f t="shared" si="21"/>
        <v>0</v>
      </c>
      <c r="BC37">
        <f t="shared" si="21"/>
        <v>0</v>
      </c>
      <c r="BD37">
        <f t="shared" si="21"/>
        <v>0</v>
      </c>
      <c r="BE37">
        <f t="shared" si="21"/>
        <v>0</v>
      </c>
      <c r="BF37">
        <f t="shared" si="21"/>
        <v>0</v>
      </c>
      <c r="BG37">
        <f t="shared" si="21"/>
        <v>0</v>
      </c>
      <c r="BH37">
        <f t="shared" si="21"/>
        <v>0</v>
      </c>
      <c r="BI37">
        <f t="shared" si="21"/>
        <v>0</v>
      </c>
      <c r="BJ37">
        <f t="shared" si="21"/>
        <v>0</v>
      </c>
      <c r="BK37">
        <f t="shared" si="21"/>
        <v>0</v>
      </c>
      <c r="BL37">
        <f t="shared" si="21"/>
        <v>0</v>
      </c>
      <c r="BM37">
        <f t="shared" si="21"/>
        <v>0</v>
      </c>
      <c r="BN37">
        <f t="shared" si="21"/>
        <v>0</v>
      </c>
      <c r="BO37">
        <f t="shared" si="21"/>
        <v>0</v>
      </c>
      <c r="BP37">
        <f t="shared" si="21"/>
        <v>0</v>
      </c>
      <c r="BQ37">
        <f t="shared" si="21"/>
        <v>0</v>
      </c>
      <c r="BR37">
        <f t="shared" si="21"/>
        <v>0</v>
      </c>
      <c r="BS37">
        <f t="shared" si="21"/>
        <v>0</v>
      </c>
      <c r="BT37">
        <f t="shared" si="21"/>
        <v>0</v>
      </c>
      <c r="BU37">
        <f t="shared" si="21"/>
        <v>0</v>
      </c>
      <c r="BV37">
        <f t="shared" si="21"/>
        <v>0</v>
      </c>
      <c r="BW37">
        <f t="shared" si="21"/>
        <v>0</v>
      </c>
      <c r="BX37">
        <f t="shared" si="21"/>
        <v>0</v>
      </c>
      <c r="BY37">
        <f t="shared" si="21"/>
        <v>0</v>
      </c>
    </row>
    <row r="38" spans="4:77" x14ac:dyDescent="0.4">
      <c r="P38" s="9" t="s">
        <v>25</v>
      </c>
      <c r="Q38" s="14">
        <v>9.0298220544000003</v>
      </c>
      <c r="R38">
        <f t="shared" si="22"/>
        <v>36.119288217600001</v>
      </c>
      <c r="S38">
        <f t="shared" si="21"/>
        <v>72.238576435200002</v>
      </c>
      <c r="T38">
        <f t="shared" si="21"/>
        <v>108.3578646528</v>
      </c>
      <c r="U38">
        <f t="shared" si="21"/>
        <v>144.4771528704</v>
      </c>
      <c r="V38">
        <f t="shared" si="21"/>
        <v>180.59644108800001</v>
      </c>
      <c r="W38">
        <f t="shared" si="21"/>
        <v>216.71572930560001</v>
      </c>
      <c r="X38">
        <f t="shared" si="21"/>
        <v>252.83501752320001</v>
      </c>
      <c r="Y38">
        <f t="shared" si="21"/>
        <v>288.95430574080001</v>
      </c>
      <c r="Z38">
        <f t="shared" si="21"/>
        <v>325.07359395840001</v>
      </c>
      <c r="AA38">
        <f t="shared" si="21"/>
        <v>361.19288217600001</v>
      </c>
      <c r="AB38">
        <f t="shared" si="21"/>
        <v>397.31217039360001</v>
      </c>
      <c r="AC38">
        <f t="shared" si="21"/>
        <v>433.43145861120001</v>
      </c>
      <c r="AD38">
        <f t="shared" si="21"/>
        <v>469.55074682880002</v>
      </c>
      <c r="AE38">
        <f t="shared" si="21"/>
        <v>505.67003504640002</v>
      </c>
      <c r="AF38">
        <f t="shared" si="21"/>
        <v>541.78932326400002</v>
      </c>
      <c r="AG38">
        <f t="shared" si="21"/>
        <v>577.90861148160002</v>
      </c>
      <c r="AH38">
        <f t="shared" si="21"/>
        <v>614.02789969920002</v>
      </c>
      <c r="AI38">
        <f t="shared" si="21"/>
        <v>650.14718791680002</v>
      </c>
      <c r="AJ38">
        <f t="shared" si="21"/>
        <v>686.26647613440002</v>
      </c>
      <c r="AK38">
        <f t="shared" si="21"/>
        <v>722.38576435200002</v>
      </c>
      <c r="AL38">
        <f t="shared" si="21"/>
        <v>758.50505256960002</v>
      </c>
      <c r="AM38">
        <f t="shared" si="21"/>
        <v>794.62434078720003</v>
      </c>
      <c r="AN38">
        <f t="shared" si="21"/>
        <v>830.74362900480003</v>
      </c>
      <c r="AO38">
        <f t="shared" si="21"/>
        <v>866.86291722240003</v>
      </c>
      <c r="AP38">
        <f t="shared" si="21"/>
        <v>902.98220544000003</v>
      </c>
      <c r="AQ38">
        <f t="shared" si="21"/>
        <v>939.10149365760003</v>
      </c>
      <c r="AR38">
        <f t="shared" si="21"/>
        <v>975.22078187520003</v>
      </c>
      <c r="AS38">
        <f t="shared" si="21"/>
        <v>1011.3400700928</v>
      </c>
      <c r="AT38">
        <f t="shared" si="21"/>
        <v>1047.4593583104001</v>
      </c>
      <c r="AU38">
        <f t="shared" si="21"/>
        <v>1083.578646528</v>
      </c>
      <c r="AV38">
        <f t="shared" si="21"/>
        <v>1119.6979347455999</v>
      </c>
      <c r="AW38">
        <f t="shared" si="21"/>
        <v>1155.8172229632</v>
      </c>
      <c r="AX38">
        <f t="shared" si="21"/>
        <v>1191.9365111808002</v>
      </c>
      <c r="AY38">
        <f t="shared" si="21"/>
        <v>1228.0557993984</v>
      </c>
      <c r="AZ38">
        <f t="shared" si="21"/>
        <v>1264.1750876159999</v>
      </c>
      <c r="BA38">
        <f t="shared" si="21"/>
        <v>1300.2943758336</v>
      </c>
      <c r="BB38">
        <f t="shared" si="21"/>
        <v>1336.4136640512002</v>
      </c>
      <c r="BC38">
        <f t="shared" si="21"/>
        <v>1372.5329522688</v>
      </c>
      <c r="BD38">
        <f t="shared" si="21"/>
        <v>1408.6522404863999</v>
      </c>
      <c r="BE38">
        <f t="shared" si="21"/>
        <v>1444.771528704</v>
      </c>
      <c r="BF38">
        <f t="shared" si="21"/>
        <v>1480.8908169216002</v>
      </c>
      <c r="BG38">
        <f t="shared" si="21"/>
        <v>1517.0101051392</v>
      </c>
      <c r="BH38">
        <f t="shared" si="21"/>
        <v>1553.1293933567999</v>
      </c>
      <c r="BI38">
        <f t="shared" si="21"/>
        <v>1589.2486815744001</v>
      </c>
      <c r="BJ38">
        <f t="shared" si="21"/>
        <v>1625.3679697920002</v>
      </c>
      <c r="BK38">
        <f t="shared" si="21"/>
        <v>1661.4872580096001</v>
      </c>
      <c r="BL38">
        <f t="shared" si="21"/>
        <v>1697.6065462271999</v>
      </c>
      <c r="BM38">
        <f t="shared" si="21"/>
        <v>1733.7258344448001</v>
      </c>
      <c r="BN38">
        <f t="shared" si="21"/>
        <v>1769.8451226624002</v>
      </c>
      <c r="BO38">
        <f t="shared" si="21"/>
        <v>1805.9644108800001</v>
      </c>
      <c r="BP38">
        <f t="shared" si="21"/>
        <v>1842.0836990975999</v>
      </c>
      <c r="BQ38">
        <f t="shared" si="21"/>
        <v>1878.2029873152001</v>
      </c>
      <c r="BR38">
        <f t="shared" si="21"/>
        <v>1914.3222755328002</v>
      </c>
      <c r="BS38">
        <f t="shared" si="21"/>
        <v>1950.4415637504001</v>
      </c>
      <c r="BT38">
        <f t="shared" si="21"/>
        <v>1986.560851968</v>
      </c>
      <c r="BU38">
        <f t="shared" si="21"/>
        <v>2022.6801401856001</v>
      </c>
      <c r="BV38">
        <f t="shared" si="21"/>
        <v>2058.7994284032002</v>
      </c>
      <c r="BW38">
        <f t="shared" si="21"/>
        <v>2094.9187166208003</v>
      </c>
      <c r="BX38">
        <f t="shared" si="21"/>
        <v>2131.0380048384</v>
      </c>
      <c r="BY38">
        <f t="shared" si="21"/>
        <v>2167.1572930560001</v>
      </c>
    </row>
    <row r="39" spans="4:77" x14ac:dyDescent="0.4">
      <c r="D39" s="41" t="s">
        <v>35</v>
      </c>
      <c r="E39" s="42"/>
      <c r="F39" s="42"/>
      <c r="G39" s="42"/>
      <c r="H39" s="42"/>
      <c r="I39" s="43"/>
      <c r="P39" s="9" t="s">
        <v>26</v>
      </c>
      <c r="Q39" s="14">
        <v>0</v>
      </c>
      <c r="R39">
        <f t="shared" si="22"/>
        <v>0</v>
      </c>
      <c r="S39">
        <f t="shared" si="21"/>
        <v>0</v>
      </c>
      <c r="T39">
        <f t="shared" si="21"/>
        <v>0</v>
      </c>
      <c r="U39">
        <f t="shared" si="21"/>
        <v>0</v>
      </c>
      <c r="V39">
        <f t="shared" si="21"/>
        <v>0</v>
      </c>
      <c r="W39">
        <f t="shared" si="21"/>
        <v>0</v>
      </c>
      <c r="X39">
        <f t="shared" si="21"/>
        <v>0</v>
      </c>
      <c r="Y39">
        <f t="shared" si="21"/>
        <v>0</v>
      </c>
      <c r="Z39">
        <f t="shared" si="21"/>
        <v>0</v>
      </c>
      <c r="AA39">
        <f t="shared" si="21"/>
        <v>0</v>
      </c>
      <c r="AB39">
        <f t="shared" si="21"/>
        <v>0</v>
      </c>
      <c r="AC39">
        <f t="shared" si="21"/>
        <v>0</v>
      </c>
      <c r="AD39">
        <f t="shared" si="21"/>
        <v>0</v>
      </c>
      <c r="AE39">
        <f t="shared" si="21"/>
        <v>0</v>
      </c>
      <c r="AF39">
        <f t="shared" si="21"/>
        <v>0</v>
      </c>
      <c r="AG39">
        <f t="shared" si="21"/>
        <v>0</v>
      </c>
      <c r="AH39">
        <f t="shared" si="21"/>
        <v>0</v>
      </c>
      <c r="AI39">
        <f t="shared" si="21"/>
        <v>0</v>
      </c>
      <c r="AJ39">
        <f t="shared" si="21"/>
        <v>0</v>
      </c>
      <c r="AK39">
        <f t="shared" si="21"/>
        <v>0</v>
      </c>
      <c r="AL39">
        <f t="shared" si="21"/>
        <v>0</v>
      </c>
      <c r="AM39">
        <f t="shared" si="21"/>
        <v>0</v>
      </c>
      <c r="AN39">
        <f t="shared" si="21"/>
        <v>0</v>
      </c>
      <c r="AO39">
        <f t="shared" si="21"/>
        <v>0</v>
      </c>
      <c r="AP39">
        <f t="shared" si="21"/>
        <v>0</v>
      </c>
      <c r="AQ39">
        <f t="shared" si="21"/>
        <v>0</v>
      </c>
      <c r="AR39">
        <f t="shared" si="21"/>
        <v>0</v>
      </c>
      <c r="AS39">
        <f t="shared" si="21"/>
        <v>0</v>
      </c>
      <c r="AT39">
        <f t="shared" si="21"/>
        <v>0</v>
      </c>
      <c r="AU39">
        <f t="shared" si="21"/>
        <v>0</v>
      </c>
      <c r="AV39">
        <f t="shared" si="21"/>
        <v>0</v>
      </c>
      <c r="AW39">
        <f t="shared" si="21"/>
        <v>0</v>
      </c>
      <c r="AX39">
        <f t="shared" si="21"/>
        <v>0</v>
      </c>
      <c r="AY39">
        <f t="shared" si="21"/>
        <v>0</v>
      </c>
      <c r="AZ39">
        <f t="shared" si="21"/>
        <v>0</v>
      </c>
      <c r="BA39">
        <f t="shared" si="21"/>
        <v>0</v>
      </c>
      <c r="BB39">
        <f t="shared" si="21"/>
        <v>0</v>
      </c>
      <c r="BC39">
        <f t="shared" si="21"/>
        <v>0</v>
      </c>
      <c r="BD39">
        <f t="shared" si="21"/>
        <v>0</v>
      </c>
      <c r="BE39">
        <f t="shared" si="21"/>
        <v>0</v>
      </c>
      <c r="BF39">
        <f t="shared" si="21"/>
        <v>0</v>
      </c>
      <c r="BG39">
        <f t="shared" si="21"/>
        <v>0</v>
      </c>
      <c r="BH39">
        <f t="shared" si="21"/>
        <v>0</v>
      </c>
      <c r="BI39">
        <f t="shared" si="21"/>
        <v>0</v>
      </c>
      <c r="BJ39">
        <f t="shared" si="21"/>
        <v>0</v>
      </c>
      <c r="BK39">
        <f t="shared" si="21"/>
        <v>0</v>
      </c>
      <c r="BL39">
        <f t="shared" si="21"/>
        <v>0</v>
      </c>
      <c r="BM39">
        <f t="shared" si="21"/>
        <v>0</v>
      </c>
      <c r="BN39">
        <f t="shared" si="21"/>
        <v>0</v>
      </c>
      <c r="BO39">
        <f t="shared" si="21"/>
        <v>0</v>
      </c>
      <c r="BP39">
        <f t="shared" si="21"/>
        <v>0</v>
      </c>
      <c r="BQ39">
        <f t="shared" si="21"/>
        <v>0</v>
      </c>
      <c r="BR39">
        <f t="shared" si="21"/>
        <v>0</v>
      </c>
      <c r="BS39">
        <f t="shared" si="21"/>
        <v>0</v>
      </c>
      <c r="BT39">
        <f t="shared" si="21"/>
        <v>0</v>
      </c>
      <c r="BU39">
        <f t="shared" si="21"/>
        <v>0</v>
      </c>
      <c r="BV39">
        <f t="shared" si="21"/>
        <v>0</v>
      </c>
      <c r="BW39">
        <f t="shared" si="21"/>
        <v>0</v>
      </c>
      <c r="BX39">
        <f t="shared" si="21"/>
        <v>0</v>
      </c>
      <c r="BY39">
        <f t="shared" si="21"/>
        <v>0</v>
      </c>
    </row>
    <row r="40" spans="4:77" x14ac:dyDescent="0.4">
      <c r="D40" s="4"/>
      <c r="E40" s="18" t="s">
        <v>33</v>
      </c>
      <c r="F40" s="19" t="s">
        <v>28</v>
      </c>
      <c r="G40" s="19" t="s">
        <v>29</v>
      </c>
      <c r="H40" s="19" t="s">
        <v>30</v>
      </c>
      <c r="I40" s="20" t="s">
        <v>31</v>
      </c>
      <c r="P40" s="10" t="s">
        <v>27</v>
      </c>
      <c r="Q40" s="16">
        <v>0</v>
      </c>
      <c r="R40">
        <f t="shared" si="22"/>
        <v>0</v>
      </c>
      <c r="S40">
        <f t="shared" si="21"/>
        <v>0</v>
      </c>
      <c r="T40">
        <f t="shared" si="21"/>
        <v>0</v>
      </c>
      <c r="U40">
        <f t="shared" si="21"/>
        <v>0</v>
      </c>
      <c r="V40">
        <f t="shared" si="21"/>
        <v>0</v>
      </c>
      <c r="W40">
        <f t="shared" si="21"/>
        <v>0</v>
      </c>
      <c r="X40">
        <f t="shared" si="21"/>
        <v>0</v>
      </c>
      <c r="Y40">
        <f t="shared" si="21"/>
        <v>0</v>
      </c>
      <c r="Z40">
        <f t="shared" si="21"/>
        <v>0</v>
      </c>
      <c r="AA40">
        <f t="shared" si="21"/>
        <v>0</v>
      </c>
      <c r="AB40">
        <f t="shared" si="21"/>
        <v>0</v>
      </c>
      <c r="AC40">
        <f t="shared" si="21"/>
        <v>0</v>
      </c>
      <c r="AD40">
        <f t="shared" si="21"/>
        <v>0</v>
      </c>
      <c r="AE40">
        <f t="shared" si="21"/>
        <v>0</v>
      </c>
      <c r="AF40">
        <f t="shared" si="21"/>
        <v>0</v>
      </c>
      <c r="AG40">
        <f t="shared" si="21"/>
        <v>0</v>
      </c>
      <c r="AH40">
        <f t="shared" si="21"/>
        <v>0</v>
      </c>
      <c r="AI40">
        <f t="shared" si="21"/>
        <v>0</v>
      </c>
      <c r="AJ40">
        <f t="shared" si="21"/>
        <v>0</v>
      </c>
      <c r="AK40">
        <f t="shared" si="21"/>
        <v>0</v>
      </c>
      <c r="AL40">
        <f t="shared" si="21"/>
        <v>0</v>
      </c>
      <c r="AM40">
        <f t="shared" si="21"/>
        <v>0</v>
      </c>
      <c r="AN40">
        <f t="shared" si="21"/>
        <v>0</v>
      </c>
      <c r="AO40">
        <f t="shared" si="21"/>
        <v>0</v>
      </c>
      <c r="AP40">
        <f t="shared" si="21"/>
        <v>0</v>
      </c>
      <c r="AQ40">
        <f t="shared" si="21"/>
        <v>0</v>
      </c>
      <c r="AR40">
        <f t="shared" si="21"/>
        <v>0</v>
      </c>
      <c r="AS40">
        <f t="shared" si="21"/>
        <v>0</v>
      </c>
      <c r="AT40">
        <f t="shared" si="21"/>
        <v>0</v>
      </c>
      <c r="AU40">
        <f t="shared" si="21"/>
        <v>0</v>
      </c>
      <c r="AV40">
        <f t="shared" si="21"/>
        <v>0</v>
      </c>
      <c r="AW40">
        <f t="shared" si="21"/>
        <v>0</v>
      </c>
      <c r="AX40">
        <f t="shared" si="21"/>
        <v>0</v>
      </c>
      <c r="AY40">
        <f t="shared" si="21"/>
        <v>0</v>
      </c>
      <c r="AZ40">
        <f t="shared" si="21"/>
        <v>0</v>
      </c>
      <c r="BA40">
        <f t="shared" ref="BA40:BY40" si="23">$Q40*BA$30</f>
        <v>0</v>
      </c>
      <c r="BB40">
        <f t="shared" si="23"/>
        <v>0</v>
      </c>
      <c r="BC40">
        <f t="shared" si="23"/>
        <v>0</v>
      </c>
      <c r="BD40">
        <f t="shared" si="23"/>
        <v>0</v>
      </c>
      <c r="BE40">
        <f t="shared" si="23"/>
        <v>0</v>
      </c>
      <c r="BF40">
        <f t="shared" si="23"/>
        <v>0</v>
      </c>
      <c r="BG40">
        <f t="shared" si="23"/>
        <v>0</v>
      </c>
      <c r="BH40">
        <f t="shared" si="23"/>
        <v>0</v>
      </c>
      <c r="BI40">
        <f t="shared" si="23"/>
        <v>0</v>
      </c>
      <c r="BJ40">
        <f t="shared" si="23"/>
        <v>0</v>
      </c>
      <c r="BK40">
        <f t="shared" si="23"/>
        <v>0</v>
      </c>
      <c r="BL40">
        <f t="shared" si="23"/>
        <v>0</v>
      </c>
      <c r="BM40">
        <f t="shared" si="23"/>
        <v>0</v>
      </c>
      <c r="BN40">
        <f t="shared" si="23"/>
        <v>0</v>
      </c>
      <c r="BO40">
        <f t="shared" si="23"/>
        <v>0</v>
      </c>
      <c r="BP40">
        <f t="shared" si="23"/>
        <v>0</v>
      </c>
      <c r="BQ40">
        <f t="shared" si="23"/>
        <v>0</v>
      </c>
      <c r="BR40">
        <f t="shared" si="23"/>
        <v>0</v>
      </c>
      <c r="BS40">
        <f t="shared" si="23"/>
        <v>0</v>
      </c>
      <c r="BT40">
        <f t="shared" si="23"/>
        <v>0</v>
      </c>
      <c r="BU40">
        <f t="shared" si="23"/>
        <v>0</v>
      </c>
      <c r="BV40">
        <f t="shared" si="23"/>
        <v>0</v>
      </c>
      <c r="BW40">
        <f t="shared" si="23"/>
        <v>0</v>
      </c>
      <c r="BX40">
        <f t="shared" si="23"/>
        <v>0</v>
      </c>
      <c r="BY40">
        <f t="shared" si="23"/>
        <v>0</v>
      </c>
    </row>
    <row r="41" spans="4:77" x14ac:dyDescent="0.4">
      <c r="D41" s="2" t="s">
        <v>23</v>
      </c>
      <c r="E41" s="14">
        <f>($D$31*0.001) *$F9* 0.001 * 0.001</f>
        <v>1.6895267999999998E-4</v>
      </c>
      <c r="F41" s="14">
        <f>E41*3600*16*7</f>
        <v>68.121720575999987</v>
      </c>
      <c r="G41" s="14">
        <f>F41*4</f>
        <v>272.48688230399995</v>
      </c>
      <c r="H41" s="14">
        <f>F41*52</f>
        <v>3542.3294699519993</v>
      </c>
      <c r="I41" s="15">
        <f>H41*10</f>
        <v>35423.294699519989</v>
      </c>
    </row>
    <row r="42" spans="4:77" x14ac:dyDescent="0.4">
      <c r="D42" s="9" t="s">
        <v>24</v>
      </c>
      <c r="E42" s="14">
        <f t="shared" ref="E42:E45" si="24">($D$31*0.001) *$F10* 0.001 * 0.001</f>
        <v>0</v>
      </c>
      <c r="F42" s="14">
        <f t="shared" ref="F42:F45" si="25">E42*3600*16*7</f>
        <v>0</v>
      </c>
      <c r="G42" s="14">
        <f t="shared" ref="G42:G45" si="26">F42*4</f>
        <v>0</v>
      </c>
      <c r="H42" s="14">
        <f t="shared" ref="H42:H45" si="27">F42*52</f>
        <v>0</v>
      </c>
      <c r="I42" s="15">
        <f t="shared" ref="I42:I45" si="28">H42*10</f>
        <v>0</v>
      </c>
      <c r="P42" s="27" t="s">
        <v>40</v>
      </c>
      <c r="R42">
        <f t="shared" ref="R42:AW42" si="29">Q42*R$30</f>
        <v>0</v>
      </c>
      <c r="S42">
        <f t="shared" si="29"/>
        <v>0</v>
      </c>
      <c r="T42">
        <f t="shared" si="29"/>
        <v>0</v>
      </c>
      <c r="U42">
        <f t="shared" si="29"/>
        <v>0</v>
      </c>
      <c r="V42">
        <f t="shared" si="29"/>
        <v>0</v>
      </c>
      <c r="W42">
        <f t="shared" si="29"/>
        <v>0</v>
      </c>
      <c r="X42">
        <f t="shared" si="29"/>
        <v>0</v>
      </c>
      <c r="Y42">
        <f t="shared" si="29"/>
        <v>0</v>
      </c>
      <c r="Z42">
        <f t="shared" si="29"/>
        <v>0</v>
      </c>
      <c r="AA42">
        <f t="shared" si="29"/>
        <v>0</v>
      </c>
      <c r="AB42">
        <f t="shared" si="29"/>
        <v>0</v>
      </c>
      <c r="AC42">
        <f t="shared" si="29"/>
        <v>0</v>
      </c>
      <c r="AD42">
        <f t="shared" si="29"/>
        <v>0</v>
      </c>
      <c r="AE42">
        <f t="shared" si="29"/>
        <v>0</v>
      </c>
      <c r="AF42">
        <f t="shared" si="29"/>
        <v>0</v>
      </c>
      <c r="AG42">
        <f t="shared" si="29"/>
        <v>0</v>
      </c>
      <c r="AH42">
        <f t="shared" si="29"/>
        <v>0</v>
      </c>
      <c r="AI42">
        <f t="shared" si="29"/>
        <v>0</v>
      </c>
      <c r="AJ42">
        <f t="shared" si="29"/>
        <v>0</v>
      </c>
      <c r="AK42">
        <f t="shared" si="29"/>
        <v>0</v>
      </c>
      <c r="AL42">
        <f t="shared" si="29"/>
        <v>0</v>
      </c>
      <c r="AM42">
        <f t="shared" si="29"/>
        <v>0</v>
      </c>
      <c r="AN42">
        <f t="shared" si="29"/>
        <v>0</v>
      </c>
      <c r="AO42">
        <f t="shared" si="29"/>
        <v>0</v>
      </c>
      <c r="AP42">
        <f t="shared" si="29"/>
        <v>0</v>
      </c>
      <c r="AQ42">
        <f t="shared" si="29"/>
        <v>0</v>
      </c>
      <c r="AR42">
        <f t="shared" si="29"/>
        <v>0</v>
      </c>
      <c r="AS42">
        <f t="shared" si="29"/>
        <v>0</v>
      </c>
      <c r="AT42">
        <f t="shared" si="29"/>
        <v>0</v>
      </c>
      <c r="AU42">
        <f t="shared" si="29"/>
        <v>0</v>
      </c>
      <c r="AV42">
        <f t="shared" si="29"/>
        <v>0</v>
      </c>
      <c r="AW42">
        <f t="shared" si="29"/>
        <v>0</v>
      </c>
      <c r="AX42">
        <f t="shared" ref="AX42:BY42" si="30">AW42*AX$30</f>
        <v>0</v>
      </c>
      <c r="AY42">
        <f t="shared" si="30"/>
        <v>0</v>
      </c>
      <c r="AZ42">
        <f t="shared" si="30"/>
        <v>0</v>
      </c>
      <c r="BA42">
        <f t="shared" si="30"/>
        <v>0</v>
      </c>
      <c r="BB42">
        <f t="shared" si="30"/>
        <v>0</v>
      </c>
      <c r="BC42">
        <f t="shared" si="30"/>
        <v>0</v>
      </c>
      <c r="BD42">
        <f t="shared" si="30"/>
        <v>0</v>
      </c>
      <c r="BE42">
        <f t="shared" si="30"/>
        <v>0</v>
      </c>
      <c r="BF42">
        <f t="shared" si="30"/>
        <v>0</v>
      </c>
      <c r="BG42">
        <f t="shared" si="30"/>
        <v>0</v>
      </c>
      <c r="BH42">
        <f t="shared" si="30"/>
        <v>0</v>
      </c>
      <c r="BI42">
        <f t="shared" si="30"/>
        <v>0</v>
      </c>
      <c r="BJ42">
        <f t="shared" si="30"/>
        <v>0</v>
      </c>
      <c r="BK42">
        <f t="shared" si="30"/>
        <v>0</v>
      </c>
      <c r="BL42">
        <f t="shared" si="30"/>
        <v>0</v>
      </c>
      <c r="BM42">
        <f t="shared" si="30"/>
        <v>0</v>
      </c>
      <c r="BN42">
        <f t="shared" si="30"/>
        <v>0</v>
      </c>
      <c r="BO42">
        <f t="shared" si="30"/>
        <v>0</v>
      </c>
      <c r="BP42">
        <f t="shared" si="30"/>
        <v>0</v>
      </c>
      <c r="BQ42">
        <f t="shared" si="30"/>
        <v>0</v>
      </c>
      <c r="BR42">
        <f t="shared" si="30"/>
        <v>0</v>
      </c>
      <c r="BS42">
        <f t="shared" si="30"/>
        <v>0</v>
      </c>
      <c r="BT42">
        <f t="shared" si="30"/>
        <v>0</v>
      </c>
      <c r="BU42">
        <f t="shared" si="30"/>
        <v>0</v>
      </c>
      <c r="BV42">
        <f t="shared" si="30"/>
        <v>0</v>
      </c>
      <c r="BW42">
        <f t="shared" si="30"/>
        <v>0</v>
      </c>
      <c r="BX42">
        <f t="shared" si="30"/>
        <v>0</v>
      </c>
      <c r="BY42">
        <f t="shared" si="30"/>
        <v>0</v>
      </c>
    </row>
    <row r="43" spans="4:77" x14ac:dyDescent="0.4">
      <c r="D43" s="9" t="s">
        <v>25</v>
      </c>
      <c r="E43" s="14">
        <f t="shared" si="24"/>
        <v>2.5992720000000001E-5</v>
      </c>
      <c r="F43" s="14">
        <f t="shared" si="25"/>
        <v>10.480264704</v>
      </c>
      <c r="G43" s="14">
        <f t="shared" si="26"/>
        <v>41.921058815999999</v>
      </c>
      <c r="H43" s="14">
        <f t="shared" si="27"/>
        <v>544.97376460800001</v>
      </c>
      <c r="I43" s="15">
        <f t="shared" si="28"/>
        <v>5449.7376460800006</v>
      </c>
    </row>
    <row r="44" spans="4:77" x14ac:dyDescent="0.4">
      <c r="D44" s="9" t="s">
        <v>26</v>
      </c>
      <c r="E44" s="14">
        <f t="shared" si="24"/>
        <v>0</v>
      </c>
      <c r="F44" s="14">
        <f t="shared" si="25"/>
        <v>0</v>
      </c>
      <c r="G44" s="14">
        <f t="shared" si="26"/>
        <v>0</v>
      </c>
      <c r="H44" s="14">
        <f t="shared" si="27"/>
        <v>0</v>
      </c>
      <c r="I44" s="15">
        <f t="shared" si="28"/>
        <v>0</v>
      </c>
    </row>
    <row r="45" spans="4:77" x14ac:dyDescent="0.4">
      <c r="D45" s="10" t="s">
        <v>27</v>
      </c>
      <c r="E45" s="16">
        <f t="shared" si="24"/>
        <v>0</v>
      </c>
      <c r="F45" s="16">
        <f t="shared" si="25"/>
        <v>0</v>
      </c>
      <c r="G45" s="16">
        <f t="shared" si="26"/>
        <v>0</v>
      </c>
      <c r="H45" s="16">
        <f t="shared" si="27"/>
        <v>0</v>
      </c>
      <c r="I45" s="17">
        <f t="shared" si="28"/>
        <v>0</v>
      </c>
    </row>
    <row r="48" spans="4:77" x14ac:dyDescent="0.4">
      <c r="D48" s="25" t="s">
        <v>38</v>
      </c>
      <c r="E48" s="41" t="s">
        <v>39</v>
      </c>
      <c r="F48" s="42"/>
      <c r="G48" s="42"/>
      <c r="H48" s="42"/>
      <c r="I48" s="43"/>
    </row>
    <row r="49" spans="4:35" x14ac:dyDescent="0.4">
      <c r="D49" s="26">
        <v>0.9</v>
      </c>
      <c r="E49" s="11" t="s">
        <v>32</v>
      </c>
      <c r="F49" s="12" t="s">
        <v>28</v>
      </c>
      <c r="G49" s="12" t="s">
        <v>29</v>
      </c>
      <c r="H49" s="12" t="s">
        <v>30</v>
      </c>
      <c r="I49" s="13" t="s">
        <v>31</v>
      </c>
      <c r="W49" s="41" t="s">
        <v>126</v>
      </c>
      <c r="X49" s="42"/>
      <c r="Y49" s="42"/>
      <c r="Z49" s="42"/>
      <c r="AA49" s="43"/>
    </row>
    <row r="50" spans="4:35" x14ac:dyDescent="0.4">
      <c r="D50" s="9" t="s">
        <v>24</v>
      </c>
      <c r="E50" s="21">
        <f>$B$17*($B$18-$B$19)*($D$12/0.9 - $D10/ 0.9)</f>
        <v>-6.3377311111111112E-2</v>
      </c>
      <c r="F50" s="21">
        <f>E50*3600*16*7</f>
        <v>-25553.73184</v>
      </c>
      <c r="G50" s="21">
        <f>F50*4</f>
        <v>-102214.92736</v>
      </c>
      <c r="H50" s="21">
        <f>F50*52</f>
        <v>-1328794.05568</v>
      </c>
      <c r="I50" s="22">
        <f>H50*10</f>
        <v>-13287940.5568</v>
      </c>
      <c r="P50" s="27" t="s">
        <v>111</v>
      </c>
      <c r="Q50" s="34">
        <f>(Q52*Q55)/Q51</f>
        <v>8.4457478005865103E-3</v>
      </c>
      <c r="S50" t="s">
        <v>117</v>
      </c>
      <c r="W50" s="38" t="s">
        <v>125</v>
      </c>
      <c r="X50" s="39" t="s">
        <v>122</v>
      </c>
      <c r="Y50" s="28" t="s">
        <v>120</v>
      </c>
      <c r="Z50" s="28" t="s">
        <v>41</v>
      </c>
      <c r="AA50" s="40" t="s">
        <v>121</v>
      </c>
    </row>
    <row r="51" spans="4:35" x14ac:dyDescent="0.4">
      <c r="D51" s="9" t="s">
        <v>25</v>
      </c>
      <c r="E51" s="21">
        <f t="shared" ref="E51:E53" si="31">$B$17*($B$18-$B$19)*($D$12/0.9 - $D11/ 0.9)</f>
        <v>-2.376649166666666E-2</v>
      </c>
      <c r="F51" s="21">
        <f t="shared" ref="F51:F53" si="32">E51*3600*16*7</f>
        <v>-9582.6494399999974</v>
      </c>
      <c r="G51" s="21">
        <f t="shared" ref="G51:G53" si="33">F51*4</f>
        <v>-38330.59775999999</v>
      </c>
      <c r="H51" s="21">
        <f t="shared" ref="H51:H53" si="34">F51*52</f>
        <v>-498297.77087999985</v>
      </c>
      <c r="I51" s="22">
        <f t="shared" ref="I51:I53" si="35">H51*10</f>
        <v>-4982977.7087999983</v>
      </c>
      <c r="P51" t="s">
        <v>0</v>
      </c>
      <c r="Q51">
        <v>3.41</v>
      </c>
      <c r="S51" t="s">
        <v>118</v>
      </c>
      <c r="T51">
        <v>0.52</v>
      </c>
      <c r="U51" t="s">
        <v>119</v>
      </c>
      <c r="W51" s="25" t="s">
        <v>124</v>
      </c>
      <c r="X51" s="36">
        <f>T51*Q50</f>
        <v>4.3917888563049859E-3</v>
      </c>
      <c r="Y51" s="21">
        <f>X51*3600*16*7</f>
        <v>1770.7692668621703</v>
      </c>
      <c r="Z51" s="21">
        <f>Y51*52/12</f>
        <v>7673.3334897360719</v>
      </c>
      <c r="AA51" s="22">
        <f>Y51*52</f>
        <v>92080.001876832859</v>
      </c>
    </row>
    <row r="52" spans="4:35" x14ac:dyDescent="0.4">
      <c r="D52" s="9" t="s">
        <v>26</v>
      </c>
      <c r="E52" s="21">
        <f t="shared" si="31"/>
        <v>0</v>
      </c>
      <c r="F52" s="21">
        <f t="shared" si="32"/>
        <v>0</v>
      </c>
      <c r="G52" s="21">
        <f t="shared" si="33"/>
        <v>0</v>
      </c>
      <c r="H52" s="21">
        <f t="shared" si="34"/>
        <v>0</v>
      </c>
      <c r="I52" s="22">
        <f t="shared" si="35"/>
        <v>0</v>
      </c>
      <c r="P52" t="s">
        <v>112</v>
      </c>
      <c r="Q52">
        <v>0.96</v>
      </c>
      <c r="S52" t="s">
        <v>123</v>
      </c>
      <c r="T52">
        <v>0.35</v>
      </c>
      <c r="U52" t="s">
        <v>119</v>
      </c>
      <c r="W52" s="3" t="s">
        <v>127</v>
      </c>
      <c r="X52" s="37">
        <f>T52*Q50</f>
        <v>2.9560117302052783E-3</v>
      </c>
      <c r="Y52" s="23">
        <f>X52*3600*16*7</f>
        <v>1191.8639296187682</v>
      </c>
      <c r="Z52" s="23">
        <f>Y52*52/12</f>
        <v>5164.7436950146621</v>
      </c>
      <c r="AA52" s="24">
        <f>Y52*52</f>
        <v>61976.924340175945</v>
      </c>
    </row>
    <row r="53" spans="4:35" x14ac:dyDescent="0.4">
      <c r="D53" s="10" t="s">
        <v>27</v>
      </c>
      <c r="E53" s="21">
        <f t="shared" si="31"/>
        <v>-7.039695E-2</v>
      </c>
      <c r="F53" s="23">
        <f t="shared" si="32"/>
        <v>-28384.05024</v>
      </c>
      <c r="G53" s="23">
        <f t="shared" si="33"/>
        <v>-113536.20096</v>
      </c>
      <c r="H53" s="23">
        <f t="shared" si="34"/>
        <v>-1475970.6124800001</v>
      </c>
      <c r="I53" s="24">
        <f t="shared" si="35"/>
        <v>-14759706.1248</v>
      </c>
      <c r="P53" t="s">
        <v>113</v>
      </c>
      <c r="Q53">
        <f>B24-B25</f>
        <v>2779</v>
      </c>
    </row>
    <row r="54" spans="4:35" x14ac:dyDescent="0.4">
      <c r="P54" t="s">
        <v>114</v>
      </c>
      <c r="Q54" s="35">
        <v>30</v>
      </c>
      <c r="R54" t="s">
        <v>115</v>
      </c>
    </row>
    <row r="55" spans="4:35" x14ac:dyDescent="0.4">
      <c r="Q55" s="35">
        <f>Q54/1000</f>
        <v>0.03</v>
      </c>
      <c r="R55" t="s">
        <v>116</v>
      </c>
    </row>
    <row r="56" spans="4:35" x14ac:dyDescent="0.4">
      <c r="D56" t="s">
        <v>45</v>
      </c>
    </row>
    <row r="57" spans="4:35" x14ac:dyDescent="0.4">
      <c r="D57" s="2" t="s">
        <v>36</v>
      </c>
      <c r="E57" s="41" t="s">
        <v>37</v>
      </c>
      <c r="F57" s="42"/>
      <c r="G57" s="42"/>
      <c r="H57" s="42"/>
      <c r="I57" s="43"/>
    </row>
    <row r="58" spans="4:35" x14ac:dyDescent="0.4">
      <c r="D58" s="3">
        <f>B23*(B24-B25)</f>
        <v>2667.8399999999997</v>
      </c>
      <c r="E58" s="11" t="s">
        <v>32</v>
      </c>
      <c r="F58" s="12" t="s">
        <v>28</v>
      </c>
      <c r="G58" s="12" t="s">
        <v>29</v>
      </c>
      <c r="H58" s="12" t="s">
        <v>30</v>
      </c>
      <c r="I58" s="13" t="s">
        <v>31</v>
      </c>
    </row>
    <row r="59" spans="4:35" x14ac:dyDescent="0.4">
      <c r="D59" s="2" t="s">
        <v>23</v>
      </c>
      <c r="E59" s="5">
        <f>$D9*$D$58</f>
        <v>3.1273013333333329E-2</v>
      </c>
      <c r="F59" s="5">
        <f>E59*3600*24*7</f>
        <v>18913.918463999995</v>
      </c>
      <c r="G59" s="5">
        <f>F59*4</f>
        <v>75655.673855999979</v>
      </c>
      <c r="H59" s="5">
        <f>F59*52</f>
        <v>983523.7601279997</v>
      </c>
      <c r="I59" s="6">
        <f>H59*10</f>
        <v>9835237.6012799963</v>
      </c>
    </row>
    <row r="60" spans="4:35" x14ac:dyDescent="0.4">
      <c r="D60" s="9" t="s">
        <v>24</v>
      </c>
      <c r="E60" s="5">
        <f t="shared" ref="E60:E63" si="36">$D10*$D$58</f>
        <v>6.7140639999999988E-2</v>
      </c>
      <c r="F60" s="5">
        <f t="shared" ref="F60:F63" si="37">E60*3600*24*7</f>
        <v>40606.659071999995</v>
      </c>
      <c r="G60" s="5">
        <f t="shared" ref="G60:G63" si="38">F60*4</f>
        <v>162426.63628799998</v>
      </c>
      <c r="H60" s="5">
        <f t="shared" ref="H60:H63" si="39">F60*52</f>
        <v>2111546.2717439998</v>
      </c>
      <c r="I60" s="6">
        <f t="shared" ref="I60:I63" si="40">H60*10</f>
        <v>21115462.717439998</v>
      </c>
    </row>
    <row r="61" spans="4:35" x14ac:dyDescent="0.4">
      <c r="D61" s="9" t="s">
        <v>25</v>
      </c>
      <c r="E61" s="5">
        <f>$D11*$D$58</f>
        <v>3.7868506666666663E-2</v>
      </c>
      <c r="F61" s="5">
        <f t="shared" si="37"/>
        <v>22902.872831999997</v>
      </c>
      <c r="G61" s="5">
        <f t="shared" si="38"/>
        <v>91611.491327999989</v>
      </c>
      <c r="H61" s="5">
        <f t="shared" si="39"/>
        <v>1190949.3872639998</v>
      </c>
      <c r="I61" s="6">
        <f t="shared" si="40"/>
        <v>11909493.872639999</v>
      </c>
    </row>
    <row r="62" spans="4:35" x14ac:dyDescent="0.4">
      <c r="D62" s="9" t="s">
        <v>26</v>
      </c>
      <c r="E62" s="5">
        <f t="shared" si="36"/>
        <v>2.0305226666666665E-2</v>
      </c>
      <c r="F62" s="5">
        <f t="shared" si="37"/>
        <v>12280.601087999999</v>
      </c>
      <c r="G62" s="5">
        <f t="shared" si="38"/>
        <v>49122.404351999998</v>
      </c>
      <c r="H62" s="5">
        <f t="shared" si="39"/>
        <v>638591.25657600001</v>
      </c>
      <c r="I62" s="6">
        <f t="shared" si="40"/>
        <v>6385912.5657599997</v>
      </c>
      <c r="P62" s="44" t="s">
        <v>44</v>
      </c>
      <c r="Q62" s="44"/>
      <c r="R62" s="44"/>
      <c r="W62" s="44" t="s">
        <v>45</v>
      </c>
      <c r="X62" s="44"/>
      <c r="Y62" s="44"/>
      <c r="AD62" s="44" t="s">
        <v>47</v>
      </c>
      <c r="AE62" s="44"/>
      <c r="AF62" s="44"/>
    </row>
    <row r="63" spans="4:35" x14ac:dyDescent="0.4">
      <c r="D63" s="10" t="s">
        <v>27</v>
      </c>
      <c r="E63" s="7">
        <f t="shared" si="36"/>
        <v>7.2328106666666669E-2</v>
      </c>
      <c r="F63" s="7">
        <f t="shared" si="37"/>
        <v>43744.038912000004</v>
      </c>
      <c r="G63" s="7">
        <f t="shared" si="38"/>
        <v>174976.15564800001</v>
      </c>
      <c r="H63" s="7">
        <f t="shared" si="39"/>
        <v>2274690.023424</v>
      </c>
      <c r="I63" s="8">
        <f t="shared" si="40"/>
        <v>22746900.234239999</v>
      </c>
      <c r="P63" s="2" t="s">
        <v>36</v>
      </c>
      <c r="Q63" s="41" t="s">
        <v>37</v>
      </c>
      <c r="R63" s="42"/>
      <c r="S63" s="42"/>
      <c r="T63" s="42"/>
      <c r="U63" s="43"/>
      <c r="W63" s="2" t="s">
        <v>36</v>
      </c>
      <c r="X63" s="41" t="s">
        <v>37</v>
      </c>
      <c r="Y63" s="42"/>
      <c r="Z63" s="42"/>
      <c r="AA63" s="42"/>
      <c r="AB63" s="43"/>
      <c r="AD63" s="2" t="s">
        <v>36</v>
      </c>
      <c r="AE63" s="41" t="s">
        <v>37</v>
      </c>
      <c r="AF63" s="42"/>
      <c r="AG63" s="42"/>
      <c r="AH63" s="42"/>
      <c r="AI63" s="43"/>
    </row>
    <row r="64" spans="4:35" x14ac:dyDescent="0.4">
      <c r="P64" s="3">
        <v>3249.0899999999997</v>
      </c>
      <c r="Q64" s="11" t="s">
        <v>32</v>
      </c>
      <c r="R64" s="12" t="s">
        <v>28</v>
      </c>
      <c r="S64" s="12" t="s">
        <v>29</v>
      </c>
      <c r="T64" s="12" t="s">
        <v>30</v>
      </c>
      <c r="U64" s="13" t="s">
        <v>31</v>
      </c>
      <c r="W64" s="3">
        <v>2667.8399999999997</v>
      </c>
      <c r="X64" s="11" t="s">
        <v>32</v>
      </c>
      <c r="Y64" s="12" t="s">
        <v>28</v>
      </c>
      <c r="Z64" s="12" t="s">
        <v>29</v>
      </c>
      <c r="AA64" s="12" t="s">
        <v>30</v>
      </c>
      <c r="AB64" s="13" t="s">
        <v>31</v>
      </c>
      <c r="AD64" s="3">
        <v>2667.8399999999997</v>
      </c>
      <c r="AE64" s="11" t="s">
        <v>32</v>
      </c>
      <c r="AF64" s="12" t="s">
        <v>28</v>
      </c>
      <c r="AG64" s="12" t="s">
        <v>29</v>
      </c>
      <c r="AH64" s="12" t="s">
        <v>30</v>
      </c>
      <c r="AI64" s="13" t="s">
        <v>31</v>
      </c>
    </row>
    <row r="65" spans="4:35" x14ac:dyDescent="0.4">
      <c r="P65" s="2" t="s">
        <v>23</v>
      </c>
      <c r="Q65" s="5">
        <v>3.8086554999999994E-2</v>
      </c>
      <c r="R65" s="5">
        <v>23034.748464</v>
      </c>
      <c r="S65" s="5">
        <v>92138.993856000001</v>
      </c>
      <c r="T65" s="5">
        <v>1197806.920128</v>
      </c>
      <c r="U65" s="6">
        <v>11978069.20128</v>
      </c>
      <c r="W65" s="2" t="s">
        <v>23</v>
      </c>
      <c r="X65" s="5">
        <v>3.1273013333333329E-2</v>
      </c>
      <c r="Y65" s="5">
        <v>18913.918463999995</v>
      </c>
      <c r="Z65" s="5">
        <v>75655.673855999979</v>
      </c>
      <c r="AA65" s="5">
        <v>983523.7601279997</v>
      </c>
      <c r="AB65" s="6">
        <v>9835237.6012799963</v>
      </c>
      <c r="AD65" s="2" t="s">
        <v>23</v>
      </c>
      <c r="AE65" s="5">
        <f>Q65-X65</f>
        <v>6.8135416666666657E-3</v>
      </c>
      <c r="AF65" s="5">
        <f t="shared" ref="AF65:AI65" si="41">R65-Y65</f>
        <v>4120.8300000000054</v>
      </c>
      <c r="AG65" s="5">
        <f t="shared" si="41"/>
        <v>16483.320000000022</v>
      </c>
      <c r="AH65" s="5">
        <f t="shared" si="41"/>
        <v>214283.16000000027</v>
      </c>
      <c r="AI65" s="6">
        <f t="shared" si="41"/>
        <v>2142831.6000000034</v>
      </c>
    </row>
    <row r="66" spans="4:35" x14ac:dyDescent="0.4">
      <c r="D66" s="41" t="s">
        <v>35</v>
      </c>
      <c r="E66" s="42"/>
      <c r="F66" s="42"/>
      <c r="G66" s="42"/>
      <c r="H66" s="42"/>
      <c r="I66" s="43"/>
      <c r="P66" s="9" t="s">
        <v>24</v>
      </c>
      <c r="Q66" s="5">
        <v>8.1768764999999993E-2</v>
      </c>
      <c r="R66" s="5">
        <v>49453.749071999999</v>
      </c>
      <c r="S66" s="5">
        <v>197814.99628799999</v>
      </c>
      <c r="T66" s="5">
        <v>2571594.951744</v>
      </c>
      <c r="U66" s="6">
        <v>25715949.517439999</v>
      </c>
      <c r="W66" s="9" t="s">
        <v>24</v>
      </c>
      <c r="X66" s="5">
        <v>6.7140639999999988E-2</v>
      </c>
      <c r="Y66" s="5">
        <v>40606.659071999995</v>
      </c>
      <c r="Z66" s="5">
        <v>162426.63628799998</v>
      </c>
      <c r="AA66" s="5">
        <v>2111546.2717439998</v>
      </c>
      <c r="AB66" s="6">
        <v>21115462.717439998</v>
      </c>
      <c r="AD66" s="9" t="s">
        <v>24</v>
      </c>
      <c r="AE66" s="5">
        <f t="shared" ref="AE66:AE69" si="42">Q66-X66</f>
        <v>1.4628125000000006E-2</v>
      </c>
      <c r="AF66" s="5">
        <f t="shared" ref="AF66:AF69" si="43">R66-Y66</f>
        <v>8847.0900000000038</v>
      </c>
      <c r="AG66" s="5">
        <f t="shared" ref="AG66:AG69" si="44">S66-Z66</f>
        <v>35388.360000000015</v>
      </c>
      <c r="AH66" s="5">
        <f t="shared" ref="AH66:AH69" si="45">T66-AA66</f>
        <v>460048.68000000017</v>
      </c>
      <c r="AI66" s="6">
        <f t="shared" ref="AI66:AI69" si="46">U66-AB66</f>
        <v>4600486.8000000007</v>
      </c>
    </row>
    <row r="67" spans="4:35" x14ac:dyDescent="0.4">
      <c r="D67" s="4"/>
      <c r="E67" s="18" t="s">
        <v>33</v>
      </c>
      <c r="F67" s="19" t="s">
        <v>28</v>
      </c>
      <c r="G67" s="19" t="s">
        <v>29</v>
      </c>
      <c r="H67" s="19" t="s">
        <v>30</v>
      </c>
      <c r="I67" s="20" t="s">
        <v>31</v>
      </c>
      <c r="P67" s="9" t="s">
        <v>25</v>
      </c>
      <c r="Q67" s="5">
        <v>4.61190275E-2</v>
      </c>
      <c r="R67" s="5">
        <v>27892.787832000002</v>
      </c>
      <c r="S67" s="5">
        <v>111571.15132800001</v>
      </c>
      <c r="T67" s="5">
        <v>1450424.9672640001</v>
      </c>
      <c r="U67" s="6">
        <v>14504249.672640001</v>
      </c>
      <c r="W67" s="9" t="s">
        <v>25</v>
      </c>
      <c r="X67" s="5">
        <v>3.7868506666666663E-2</v>
      </c>
      <c r="Y67" s="5">
        <v>22902.872831999997</v>
      </c>
      <c r="Z67" s="5">
        <v>91611.491327999989</v>
      </c>
      <c r="AA67" s="5">
        <v>1190949.3872639998</v>
      </c>
      <c r="AB67" s="6">
        <v>11909493.872639999</v>
      </c>
      <c r="AD67" s="9" t="s">
        <v>25</v>
      </c>
      <c r="AE67" s="5">
        <f t="shared" si="42"/>
        <v>8.2505208333333371E-3</v>
      </c>
      <c r="AF67" s="5">
        <f t="shared" si="43"/>
        <v>4989.9150000000045</v>
      </c>
      <c r="AG67" s="5">
        <f t="shared" si="44"/>
        <v>19959.660000000018</v>
      </c>
      <c r="AH67" s="5">
        <f t="shared" si="45"/>
        <v>259475.58000000031</v>
      </c>
      <c r="AI67" s="6">
        <f t="shared" si="46"/>
        <v>2594755.8000000026</v>
      </c>
    </row>
    <row r="68" spans="4:35" x14ac:dyDescent="0.4">
      <c r="D68" s="2" t="s">
        <v>23</v>
      </c>
      <c r="E68" s="14">
        <f>($D$58*0.001) *$F9* 0.001 * 0.001</f>
        <v>1.3872767999999997E-4</v>
      </c>
      <c r="F68" s="14">
        <f>E68*3600*16*7</f>
        <v>55.935000575999986</v>
      </c>
      <c r="G68" s="14">
        <f>F68*4</f>
        <v>223.74000230399994</v>
      </c>
      <c r="H68" s="14">
        <f>F68*52</f>
        <v>2908.6200299519992</v>
      </c>
      <c r="I68" s="15">
        <f>H68*10</f>
        <v>29086.200299519991</v>
      </c>
      <c r="P68" s="9" t="s">
        <v>26</v>
      </c>
      <c r="Q68" s="5">
        <v>2.4729184999999997E-2</v>
      </c>
      <c r="R68" s="5">
        <v>14956.211088</v>
      </c>
      <c r="S68" s="5">
        <v>59824.844352</v>
      </c>
      <c r="T68" s="5">
        <v>777722.97657599999</v>
      </c>
      <c r="U68" s="6">
        <v>7777229.7657599999</v>
      </c>
      <c r="W68" s="9" t="s">
        <v>26</v>
      </c>
      <c r="X68" s="5">
        <v>2.0305226666666665E-2</v>
      </c>
      <c r="Y68" s="5">
        <v>12280.601087999999</v>
      </c>
      <c r="Z68" s="5">
        <v>49122.404351999998</v>
      </c>
      <c r="AA68" s="5">
        <v>638591.25657600001</v>
      </c>
      <c r="AB68" s="6">
        <v>6385912.5657599997</v>
      </c>
      <c r="AD68" s="9" t="s">
        <v>26</v>
      </c>
      <c r="AE68" s="5">
        <f t="shared" si="42"/>
        <v>4.4239583333333318E-3</v>
      </c>
      <c r="AF68" s="5">
        <f t="shared" si="43"/>
        <v>2675.6100000000006</v>
      </c>
      <c r="AG68" s="5">
        <f t="shared" si="44"/>
        <v>10702.440000000002</v>
      </c>
      <c r="AH68" s="5">
        <f t="shared" si="45"/>
        <v>139131.71999999997</v>
      </c>
      <c r="AI68" s="6">
        <f t="shared" si="46"/>
        <v>1391317.2000000002</v>
      </c>
    </row>
    <row r="69" spans="4:35" x14ac:dyDescent="0.4">
      <c r="D69" s="9" t="s">
        <v>24</v>
      </c>
      <c r="E69" s="14">
        <f t="shared" ref="E69:E72" si="47">($D$58*0.001) *$F10* 0.001 * 0.001</f>
        <v>0</v>
      </c>
      <c r="F69" s="14">
        <f t="shared" ref="F69:F72" si="48">E69*3600*16*7</f>
        <v>0</v>
      </c>
      <c r="G69" s="14">
        <f t="shared" ref="G69:G72" si="49">F69*4</f>
        <v>0</v>
      </c>
      <c r="H69" s="14">
        <f t="shared" ref="H69:H72" si="50">F69*52</f>
        <v>0</v>
      </c>
      <c r="I69" s="15">
        <f t="shared" ref="I69:I72" si="51">H69*10</f>
        <v>0</v>
      </c>
      <c r="P69" s="10" t="s">
        <v>27</v>
      </c>
      <c r="Q69" s="7">
        <v>8.8086440000000002E-2</v>
      </c>
      <c r="R69" s="7">
        <v>53274.678911999996</v>
      </c>
      <c r="S69" s="7">
        <v>213098.71564799998</v>
      </c>
      <c r="T69" s="7">
        <v>2770283.3034239998</v>
      </c>
      <c r="U69" s="8">
        <v>27702833.03424</v>
      </c>
      <c r="W69" s="10" t="s">
        <v>27</v>
      </c>
      <c r="X69" s="7">
        <v>7.2328106666666669E-2</v>
      </c>
      <c r="Y69" s="7">
        <v>43744.038912000004</v>
      </c>
      <c r="Z69" s="7">
        <v>174976.15564800001</v>
      </c>
      <c r="AA69" s="7">
        <v>2274690.023424</v>
      </c>
      <c r="AB69" s="8">
        <v>22746900.234239999</v>
      </c>
      <c r="AD69" s="10" t="s">
        <v>27</v>
      </c>
      <c r="AE69" s="7">
        <f t="shared" si="42"/>
        <v>1.5758333333333333E-2</v>
      </c>
      <c r="AF69" s="7">
        <f t="shared" si="43"/>
        <v>9530.6399999999921</v>
      </c>
      <c r="AG69" s="7">
        <f t="shared" si="44"/>
        <v>38122.559999999969</v>
      </c>
      <c r="AH69" s="7">
        <f t="shared" si="45"/>
        <v>495593.2799999998</v>
      </c>
      <c r="AI69" s="8">
        <f t="shared" si="46"/>
        <v>4955932.8000000007</v>
      </c>
    </row>
    <row r="70" spans="4:35" x14ac:dyDescent="0.4">
      <c r="D70" s="9" t="s">
        <v>25</v>
      </c>
      <c r="E70" s="14">
        <f>($D$58*0.001) *$F11* 0.001 * 0.001</f>
        <v>2.1342719999999996E-5</v>
      </c>
      <c r="F70" s="14">
        <f t="shared" si="48"/>
        <v>8.6053847039999987</v>
      </c>
      <c r="G70" s="14">
        <f t="shared" si="49"/>
        <v>34.421538815999995</v>
      </c>
      <c r="H70" s="14">
        <f t="shared" si="50"/>
        <v>447.48000460799994</v>
      </c>
      <c r="I70" s="15">
        <f t="shared" si="51"/>
        <v>4474.8000460799994</v>
      </c>
    </row>
    <row r="71" spans="4:35" x14ac:dyDescent="0.4">
      <c r="D71" s="9" t="s">
        <v>26</v>
      </c>
      <c r="E71" s="14">
        <f t="shared" si="47"/>
        <v>0</v>
      </c>
      <c r="F71" s="14">
        <f t="shared" si="48"/>
        <v>0</v>
      </c>
      <c r="G71" s="14">
        <f t="shared" si="49"/>
        <v>0</v>
      </c>
      <c r="H71" s="14">
        <f t="shared" si="50"/>
        <v>0</v>
      </c>
      <c r="I71" s="15">
        <f t="shared" si="51"/>
        <v>0</v>
      </c>
    </row>
    <row r="72" spans="4:35" x14ac:dyDescent="0.4">
      <c r="D72" s="10" t="s">
        <v>27</v>
      </c>
      <c r="E72" s="16">
        <f t="shared" si="47"/>
        <v>0</v>
      </c>
      <c r="F72" s="16">
        <f t="shared" si="48"/>
        <v>0</v>
      </c>
      <c r="G72" s="16">
        <f t="shared" si="49"/>
        <v>0</v>
      </c>
      <c r="H72" s="16">
        <f t="shared" si="50"/>
        <v>0</v>
      </c>
      <c r="I72" s="17">
        <f t="shared" si="51"/>
        <v>0</v>
      </c>
      <c r="P72" s="41" t="s">
        <v>35</v>
      </c>
      <c r="Q72" s="42"/>
      <c r="R72" s="42"/>
      <c r="S72" s="42"/>
      <c r="T72" s="42"/>
      <c r="U72" s="43"/>
      <c r="W72" s="41" t="s">
        <v>35</v>
      </c>
      <c r="X72" s="42"/>
      <c r="Y72" s="42"/>
      <c r="Z72" s="42"/>
      <c r="AA72" s="42"/>
      <c r="AB72" s="43"/>
      <c r="AD72" s="41" t="s">
        <v>35</v>
      </c>
      <c r="AE72" s="42"/>
      <c r="AF72" s="42"/>
      <c r="AG72" s="42"/>
      <c r="AH72" s="42"/>
      <c r="AI72" s="43"/>
    </row>
    <row r="73" spans="4:35" x14ac:dyDescent="0.4">
      <c r="P73" s="4"/>
      <c r="Q73" s="18" t="s">
        <v>33</v>
      </c>
      <c r="R73" s="19" t="s">
        <v>28</v>
      </c>
      <c r="S73" s="19" t="s">
        <v>29</v>
      </c>
      <c r="T73" s="19" t="s">
        <v>30</v>
      </c>
      <c r="U73" s="20" t="s">
        <v>31</v>
      </c>
      <c r="W73" s="4"/>
      <c r="X73" s="18" t="s">
        <v>33</v>
      </c>
      <c r="Y73" s="19" t="s">
        <v>28</v>
      </c>
      <c r="Z73" s="19" t="s">
        <v>29</v>
      </c>
      <c r="AA73" s="19" t="s">
        <v>30</v>
      </c>
      <c r="AB73" s="20" t="s">
        <v>31</v>
      </c>
      <c r="AD73" s="4"/>
      <c r="AE73" s="18" t="s">
        <v>33</v>
      </c>
      <c r="AF73" s="19" t="s">
        <v>28</v>
      </c>
      <c r="AG73" s="19" t="s">
        <v>29</v>
      </c>
      <c r="AH73" s="19" t="s">
        <v>30</v>
      </c>
      <c r="AI73" s="20" t="s">
        <v>31</v>
      </c>
    </row>
    <row r="74" spans="4:35" x14ac:dyDescent="0.4">
      <c r="P74" s="2" t="s">
        <v>23</v>
      </c>
      <c r="Q74" s="14">
        <v>1.6895267999999998E-4</v>
      </c>
      <c r="R74" s="14">
        <v>68.121720575999987</v>
      </c>
      <c r="S74" s="14">
        <v>272.48688230399995</v>
      </c>
      <c r="T74" s="14">
        <v>3542.3294699519993</v>
      </c>
      <c r="U74" s="15">
        <v>35423.294699519989</v>
      </c>
      <c r="W74" s="2" t="s">
        <v>23</v>
      </c>
      <c r="X74" s="14">
        <v>1.3872767999999997E-4</v>
      </c>
      <c r="Y74" s="14">
        <v>55.935000575999986</v>
      </c>
      <c r="Z74" s="14">
        <v>223.74000230399994</v>
      </c>
      <c r="AA74" s="14">
        <v>2908.6200299519992</v>
      </c>
      <c r="AB74" s="15">
        <v>29086.200299519991</v>
      </c>
      <c r="AD74" s="2" t="s">
        <v>23</v>
      </c>
      <c r="AE74" s="14">
        <f>Q74-X74</f>
        <v>3.0225000000000016E-5</v>
      </c>
      <c r="AF74" s="14">
        <f>R74-Y74</f>
        <v>12.186720000000001</v>
      </c>
      <c r="AG74" s="14">
        <f t="shared" ref="AG74:AG78" si="52">S74-Z74</f>
        <v>48.746880000000004</v>
      </c>
      <c r="AH74" s="14">
        <f t="shared" ref="AH74:AH78" si="53">T74-AA74</f>
        <v>633.70944000000009</v>
      </c>
      <c r="AI74" s="15">
        <f t="shared" ref="AI74:AI78" si="54">U74-AB74</f>
        <v>6337.0943999999981</v>
      </c>
    </row>
    <row r="75" spans="4:35" x14ac:dyDescent="0.4">
      <c r="D75" s="25" t="s">
        <v>38</v>
      </c>
      <c r="E75" s="41" t="s">
        <v>39</v>
      </c>
      <c r="F75" s="42"/>
      <c r="G75" s="42"/>
      <c r="H75" s="42"/>
      <c r="I75" s="43"/>
      <c r="P75" s="9" t="s">
        <v>24</v>
      </c>
      <c r="Q75" s="14">
        <v>0</v>
      </c>
      <c r="R75" s="14">
        <v>0</v>
      </c>
      <c r="S75" s="14">
        <v>0</v>
      </c>
      <c r="T75" s="14">
        <v>0</v>
      </c>
      <c r="U75" s="15">
        <v>0</v>
      </c>
      <c r="W75" s="9" t="s">
        <v>24</v>
      </c>
      <c r="X75" s="14">
        <v>0</v>
      </c>
      <c r="Y75" s="14">
        <v>0</v>
      </c>
      <c r="Z75" s="14">
        <v>0</v>
      </c>
      <c r="AA75" s="14">
        <v>0</v>
      </c>
      <c r="AB75" s="15">
        <v>0</v>
      </c>
      <c r="AD75" s="9" t="s">
        <v>24</v>
      </c>
      <c r="AE75" s="14">
        <f t="shared" ref="AE75:AE78" si="55">Q75-X75</f>
        <v>0</v>
      </c>
      <c r="AF75" s="14">
        <f t="shared" ref="AF75:AF78" si="56">R75-Y75</f>
        <v>0</v>
      </c>
      <c r="AG75" s="14">
        <f t="shared" si="52"/>
        <v>0</v>
      </c>
      <c r="AH75" s="14">
        <f t="shared" si="53"/>
        <v>0</v>
      </c>
      <c r="AI75" s="15">
        <f t="shared" si="54"/>
        <v>0</v>
      </c>
    </row>
    <row r="76" spans="4:35" x14ac:dyDescent="0.4">
      <c r="D76" s="26">
        <v>0.9</v>
      </c>
      <c r="E76" s="11" t="s">
        <v>32</v>
      </c>
      <c r="F76" s="12" t="s">
        <v>28</v>
      </c>
      <c r="G76" s="12" t="s">
        <v>29</v>
      </c>
      <c r="H76" s="12" t="s">
        <v>30</v>
      </c>
      <c r="I76" s="13" t="s">
        <v>31</v>
      </c>
      <c r="P76" s="9" t="s">
        <v>25</v>
      </c>
      <c r="Q76" s="14">
        <v>2.5992720000000001E-5</v>
      </c>
      <c r="R76" s="14">
        <v>10.480264704</v>
      </c>
      <c r="S76" s="14">
        <v>41.921058815999999</v>
      </c>
      <c r="T76" s="14">
        <v>544.97376460800001</v>
      </c>
      <c r="U76" s="15">
        <v>5449.7376460800006</v>
      </c>
      <c r="W76" s="9" t="s">
        <v>25</v>
      </c>
      <c r="X76" s="14">
        <v>2.1342719999999996E-5</v>
      </c>
      <c r="Y76" s="14">
        <v>8.6053847039999987</v>
      </c>
      <c r="Z76" s="14">
        <v>34.421538815999995</v>
      </c>
      <c r="AA76" s="14">
        <v>447.48000460799994</v>
      </c>
      <c r="AB76" s="15">
        <v>4474.8000460799994</v>
      </c>
      <c r="AD76" s="9" t="s">
        <v>25</v>
      </c>
      <c r="AE76" s="14">
        <f t="shared" si="55"/>
        <v>4.6500000000000046E-6</v>
      </c>
      <c r="AF76" s="14">
        <f t="shared" si="56"/>
        <v>1.874880000000001</v>
      </c>
      <c r="AG76" s="14">
        <f t="shared" si="52"/>
        <v>7.499520000000004</v>
      </c>
      <c r="AH76" s="14">
        <f t="shared" si="53"/>
        <v>97.493760000000066</v>
      </c>
      <c r="AI76" s="15">
        <f t="shared" si="54"/>
        <v>974.93760000000111</v>
      </c>
    </row>
    <row r="77" spans="4:35" x14ac:dyDescent="0.4">
      <c r="D77" s="9" t="s">
        <v>24</v>
      </c>
      <c r="E77" s="21">
        <f>$B$23*($B$24-$B$25)*($D$12/0.9 - $D10/ 0.9)</f>
        <v>-5.2039348148148146E-2</v>
      </c>
      <c r="F77" s="21">
        <f>E77*3600*16*7</f>
        <v>-20982.26517333333</v>
      </c>
      <c r="G77" s="21">
        <f>F77*4</f>
        <v>-83929.060693333318</v>
      </c>
      <c r="H77" s="21">
        <f>F77*52</f>
        <v>-1091077.7890133332</v>
      </c>
      <c r="I77" s="22">
        <f>H77*10</f>
        <v>-10910777.890133332</v>
      </c>
      <c r="P77" s="9" t="s">
        <v>26</v>
      </c>
      <c r="Q77" s="14">
        <v>0</v>
      </c>
      <c r="R77" s="14">
        <v>0</v>
      </c>
      <c r="S77" s="14">
        <v>0</v>
      </c>
      <c r="T77" s="14">
        <v>0</v>
      </c>
      <c r="U77" s="15">
        <v>0</v>
      </c>
      <c r="W77" s="9" t="s">
        <v>26</v>
      </c>
      <c r="X77" s="14">
        <v>0</v>
      </c>
      <c r="Y77" s="14">
        <v>0</v>
      </c>
      <c r="Z77" s="14">
        <v>0</v>
      </c>
      <c r="AA77" s="14">
        <v>0</v>
      </c>
      <c r="AB77" s="15">
        <v>0</v>
      </c>
      <c r="AD77" s="9" t="s">
        <v>26</v>
      </c>
      <c r="AE77" s="14">
        <f t="shared" si="55"/>
        <v>0</v>
      </c>
      <c r="AF77" s="14">
        <f t="shared" si="56"/>
        <v>0</v>
      </c>
      <c r="AG77" s="14">
        <f t="shared" si="52"/>
        <v>0</v>
      </c>
      <c r="AH77" s="14">
        <f t="shared" si="53"/>
        <v>0</v>
      </c>
      <c r="AI77" s="15">
        <f t="shared" si="54"/>
        <v>0</v>
      </c>
    </row>
    <row r="78" spans="4:35" x14ac:dyDescent="0.4">
      <c r="D78" s="9" t="s">
        <v>25</v>
      </c>
      <c r="E78" s="21">
        <f t="shared" ref="E78:E80" si="57">$B$23*($B$24-$B$25)*($D$12/0.9 - $D11/ 0.9)</f>
        <v>-1.9514755555555551E-2</v>
      </c>
      <c r="F78" s="21">
        <f t="shared" ref="F78:F80" si="58">E78*3600*16*7</f>
        <v>-7868.3494399999981</v>
      </c>
      <c r="G78" s="21">
        <f t="shared" ref="G78:G80" si="59">F78*4</f>
        <v>-31473.397759999993</v>
      </c>
      <c r="H78" s="21">
        <f t="shared" ref="H78:H80" si="60">F78*52</f>
        <v>-409154.17087999987</v>
      </c>
      <c r="I78" s="22">
        <f t="shared" ref="I78:I80" si="61">H78*10</f>
        <v>-4091541.7087999987</v>
      </c>
      <c r="P78" s="10" t="s">
        <v>27</v>
      </c>
      <c r="Q78" s="16">
        <v>0</v>
      </c>
      <c r="R78" s="16">
        <v>0</v>
      </c>
      <c r="S78" s="16">
        <v>0</v>
      </c>
      <c r="T78" s="16">
        <v>0</v>
      </c>
      <c r="U78" s="17">
        <v>0</v>
      </c>
      <c r="W78" s="10" t="s">
        <v>27</v>
      </c>
      <c r="X78" s="16">
        <v>0</v>
      </c>
      <c r="Y78" s="16">
        <v>0</v>
      </c>
      <c r="Z78" s="16">
        <v>0</v>
      </c>
      <c r="AA78" s="16">
        <v>0</v>
      </c>
      <c r="AB78" s="17">
        <v>0</v>
      </c>
      <c r="AD78" s="10" t="s">
        <v>27</v>
      </c>
      <c r="AE78" s="16">
        <f t="shared" si="55"/>
        <v>0</v>
      </c>
      <c r="AF78" s="16">
        <f t="shared" si="56"/>
        <v>0</v>
      </c>
      <c r="AG78" s="16">
        <f t="shared" si="52"/>
        <v>0</v>
      </c>
      <c r="AH78" s="16">
        <f t="shared" si="53"/>
        <v>0</v>
      </c>
      <c r="AI78" s="17">
        <f t="shared" si="54"/>
        <v>0</v>
      </c>
    </row>
    <row r="79" spans="4:35" x14ac:dyDescent="0.4">
      <c r="D79" s="9" t="s">
        <v>26</v>
      </c>
      <c r="E79" s="21">
        <f t="shared" si="57"/>
        <v>0</v>
      </c>
      <c r="F79" s="21">
        <f t="shared" si="58"/>
        <v>0</v>
      </c>
      <c r="G79" s="21">
        <f t="shared" si="59"/>
        <v>0</v>
      </c>
      <c r="H79" s="21">
        <f t="shared" si="60"/>
        <v>0</v>
      </c>
      <c r="I79" s="22">
        <f t="shared" si="61"/>
        <v>0</v>
      </c>
    </row>
    <row r="80" spans="4:35" x14ac:dyDescent="0.4">
      <c r="D80" s="10" t="s">
        <v>27</v>
      </c>
      <c r="E80" s="21">
        <f t="shared" si="57"/>
        <v>-5.7803200000000006E-2</v>
      </c>
      <c r="F80" s="23">
        <f t="shared" si="58"/>
        <v>-23306.250240000005</v>
      </c>
      <c r="G80" s="23">
        <f t="shared" si="59"/>
        <v>-93225.000960000019</v>
      </c>
      <c r="H80" s="23">
        <f t="shared" si="60"/>
        <v>-1211925.0124800003</v>
      </c>
      <c r="I80" s="24">
        <f t="shared" si="61"/>
        <v>-12119250.124800002</v>
      </c>
    </row>
    <row r="81" spans="16:35" x14ac:dyDescent="0.4">
      <c r="P81" s="25" t="s">
        <v>38</v>
      </c>
      <c r="Q81" s="41" t="s">
        <v>39</v>
      </c>
      <c r="R81" s="42"/>
      <c r="S81" s="42"/>
      <c r="T81" s="42"/>
      <c r="U81" s="43"/>
      <c r="W81" s="25" t="s">
        <v>38</v>
      </c>
      <c r="X81" s="41" t="s">
        <v>39</v>
      </c>
      <c r="Y81" s="42"/>
      <c r="Z81" s="42"/>
      <c r="AA81" s="42"/>
      <c r="AB81" s="43"/>
      <c r="AD81" s="25" t="s">
        <v>38</v>
      </c>
      <c r="AE81" s="41" t="s">
        <v>39</v>
      </c>
      <c r="AF81" s="42"/>
      <c r="AG81" s="42"/>
      <c r="AH81" s="42"/>
      <c r="AI81" s="43"/>
    </row>
    <row r="82" spans="16:35" x14ac:dyDescent="0.4">
      <c r="P82" s="26">
        <v>0.9</v>
      </c>
      <c r="Q82" s="11" t="s">
        <v>32</v>
      </c>
      <c r="R82" s="12" t="s">
        <v>28</v>
      </c>
      <c r="S82" s="12" t="s">
        <v>29</v>
      </c>
      <c r="T82" s="12" t="s">
        <v>30</v>
      </c>
      <c r="U82" s="13" t="s">
        <v>31</v>
      </c>
      <c r="W82" s="26">
        <v>0.9</v>
      </c>
      <c r="X82" s="11" t="s">
        <v>32</v>
      </c>
      <c r="Y82" s="12" t="s">
        <v>28</v>
      </c>
      <c r="Z82" s="12" t="s">
        <v>29</v>
      </c>
      <c r="AA82" s="12" t="s">
        <v>30</v>
      </c>
      <c r="AB82" s="13" t="s">
        <v>31</v>
      </c>
      <c r="AD82" s="26">
        <v>0.9</v>
      </c>
      <c r="AE82" s="11" t="s">
        <v>32</v>
      </c>
      <c r="AF82" s="12" t="s">
        <v>28</v>
      </c>
      <c r="AG82" s="12" t="s">
        <v>29</v>
      </c>
      <c r="AH82" s="12" t="s">
        <v>30</v>
      </c>
      <c r="AI82" s="13" t="s">
        <v>31</v>
      </c>
    </row>
    <row r="83" spans="16:35" x14ac:dyDescent="0.4">
      <c r="P83" s="9" t="s">
        <v>24</v>
      </c>
      <c r="Q83" s="21">
        <v>-4.8535788888888889E-2</v>
      </c>
      <c r="R83" s="21">
        <v>-19569.630079999999</v>
      </c>
      <c r="S83" s="21">
        <v>-78278.520319999996</v>
      </c>
      <c r="T83" s="21">
        <v>-1017620.7641599999</v>
      </c>
      <c r="U83" s="22">
        <v>-10176207.6416</v>
      </c>
      <c r="W83" s="9" t="s">
        <v>24</v>
      </c>
      <c r="X83" s="21">
        <v>-3.9852918518518521E-2</v>
      </c>
      <c r="Y83" s="21">
        <v>-16068.696746666667</v>
      </c>
      <c r="Z83" s="21">
        <v>-64274.786986666666</v>
      </c>
      <c r="AA83" s="21">
        <v>-835572.2308266667</v>
      </c>
      <c r="AB83" s="22">
        <v>-8355722.3082666667</v>
      </c>
      <c r="AD83" s="9" t="s">
        <v>24</v>
      </c>
      <c r="AE83" s="5">
        <f>Q83-X83</f>
        <v>-8.6828703703703686E-3</v>
      </c>
      <c r="AF83" s="5">
        <f t="shared" ref="AF83:AI83" si="62">R83-Y83</f>
        <v>-3500.9333333333325</v>
      </c>
      <c r="AG83" s="5">
        <f t="shared" si="62"/>
        <v>-14003.73333333333</v>
      </c>
      <c r="AH83" s="5">
        <f t="shared" si="62"/>
        <v>-182048.53333333321</v>
      </c>
      <c r="AI83" s="6">
        <f t="shared" si="62"/>
        <v>-1820485.333333333</v>
      </c>
    </row>
    <row r="84" spans="16:35" x14ac:dyDescent="0.4">
      <c r="P84" s="9" t="s">
        <v>25</v>
      </c>
      <c r="Q84" s="21">
        <v>-8.9249694444444427E-3</v>
      </c>
      <c r="R84" s="21">
        <v>-3598.5476799999997</v>
      </c>
      <c r="S84" s="21">
        <v>-14394.190719999999</v>
      </c>
      <c r="T84" s="21">
        <v>-187124.47936</v>
      </c>
      <c r="U84" s="22">
        <v>-1871244.7936</v>
      </c>
      <c r="W84" s="9" t="s">
        <v>25</v>
      </c>
      <c r="X84" s="21">
        <v>-7.3283259259259237E-3</v>
      </c>
      <c r="Y84" s="21">
        <v>-2954.7810133333323</v>
      </c>
      <c r="Z84" s="21">
        <v>-11819.124053333329</v>
      </c>
      <c r="AA84" s="21">
        <v>-153648.61269333327</v>
      </c>
      <c r="AB84" s="22">
        <v>-1536486.1269333328</v>
      </c>
      <c r="AD84" s="9" t="s">
        <v>25</v>
      </c>
      <c r="AE84" s="5">
        <f t="shared" ref="AE84:AE86" si="63">Q84-X84</f>
        <v>-1.5966435185185189E-3</v>
      </c>
      <c r="AF84" s="5">
        <f t="shared" ref="AF84:AF86" si="64">R84-Y84</f>
        <v>-643.76666666666733</v>
      </c>
      <c r="AG84" s="5">
        <f t="shared" ref="AG84:AG86" si="65">S84-Z84</f>
        <v>-2575.0666666666693</v>
      </c>
      <c r="AH84" s="5">
        <f t="shared" ref="AH84:AH86" si="66">T84-AA84</f>
        <v>-33475.866666666727</v>
      </c>
      <c r="AI84" s="6">
        <f t="shared" ref="AI84:AI86" si="67">U84-AB84</f>
        <v>-334758.66666666721</v>
      </c>
    </row>
    <row r="85" spans="16:35" x14ac:dyDescent="0.4">
      <c r="P85" s="9" t="s">
        <v>26</v>
      </c>
      <c r="Q85" s="21">
        <v>1.4841522222222219E-2</v>
      </c>
      <c r="R85" s="21">
        <v>5984.1017599999986</v>
      </c>
      <c r="S85" s="21">
        <v>23936.407039999995</v>
      </c>
      <c r="T85" s="21">
        <v>311173.29151999991</v>
      </c>
      <c r="U85" s="22">
        <v>3111732.9151999992</v>
      </c>
      <c r="W85" s="9" t="s">
        <v>26</v>
      </c>
      <c r="X85" s="21">
        <v>1.2186429629629627E-2</v>
      </c>
      <c r="Y85" s="21">
        <v>4913.5684266666649</v>
      </c>
      <c r="Z85" s="21">
        <v>19654.27370666666</v>
      </c>
      <c r="AA85" s="21">
        <v>255505.55818666657</v>
      </c>
      <c r="AB85" s="22">
        <v>2555055.5818666657</v>
      </c>
      <c r="AD85" s="9" t="s">
        <v>26</v>
      </c>
      <c r="AE85" s="5">
        <f t="shared" si="63"/>
        <v>2.6550925925925926E-3</v>
      </c>
      <c r="AF85" s="5">
        <f t="shared" si="64"/>
        <v>1070.5333333333338</v>
      </c>
      <c r="AG85" s="5">
        <f t="shared" si="65"/>
        <v>4282.133333333335</v>
      </c>
      <c r="AH85" s="5">
        <f t="shared" si="66"/>
        <v>55667.733333333337</v>
      </c>
      <c r="AI85" s="6">
        <f t="shared" si="67"/>
        <v>556677.33333333349</v>
      </c>
    </row>
    <row r="86" spans="16:35" x14ac:dyDescent="0.4">
      <c r="P86" s="10" t="s">
        <v>27</v>
      </c>
      <c r="Q86" s="23">
        <v>-5.5555427777777791E-2</v>
      </c>
      <c r="R86" s="23">
        <v>-22399.948480000006</v>
      </c>
      <c r="S86" s="23">
        <v>-89599.793920000026</v>
      </c>
      <c r="T86" s="23">
        <v>-1164797.3209600004</v>
      </c>
      <c r="U86" s="24">
        <v>-11647973.209600003</v>
      </c>
      <c r="W86" s="10" t="s">
        <v>27</v>
      </c>
      <c r="X86" s="23">
        <v>-4.5616770370370381E-2</v>
      </c>
      <c r="Y86" s="23">
        <v>-18392.68181333334</v>
      </c>
      <c r="Z86" s="23">
        <v>-73570.72725333336</v>
      </c>
      <c r="AA86" s="23">
        <v>-956419.45429333369</v>
      </c>
      <c r="AB86" s="24">
        <v>-9564194.5429333374</v>
      </c>
      <c r="AD86" s="10" t="s">
        <v>27</v>
      </c>
      <c r="AE86" s="7">
        <f t="shared" si="63"/>
        <v>-9.9386574074074099E-3</v>
      </c>
      <c r="AF86" s="7">
        <f t="shared" si="64"/>
        <v>-4007.2666666666664</v>
      </c>
      <c r="AG86" s="7">
        <f t="shared" si="65"/>
        <v>-16029.066666666666</v>
      </c>
      <c r="AH86" s="7">
        <f t="shared" si="66"/>
        <v>-208377.8666666667</v>
      </c>
      <c r="AI86" s="8">
        <f t="shared" si="67"/>
        <v>-2083778.666666666</v>
      </c>
    </row>
    <row r="97" spans="10:16" ht="16.5" thickBot="1" x14ac:dyDescent="0.45"/>
    <row r="98" spans="10:16" ht="47" thickBot="1" x14ac:dyDescent="0.45">
      <c r="J98" s="29" t="s">
        <v>48</v>
      </c>
      <c r="K98" s="29" t="s">
        <v>49</v>
      </c>
      <c r="L98" s="29" t="s">
        <v>50</v>
      </c>
      <c r="M98" s="29" t="s">
        <v>51</v>
      </c>
      <c r="O98" s="29" t="s">
        <v>102</v>
      </c>
      <c r="P98" s="29" t="s">
        <v>103</v>
      </c>
    </row>
    <row r="99" spans="10:16" ht="62.5" thickBot="1" x14ac:dyDescent="0.45">
      <c r="J99" s="29" t="s">
        <v>52</v>
      </c>
      <c r="K99" s="30">
        <v>1261.1500000000001</v>
      </c>
      <c r="L99" s="30">
        <v>3.1556000000000002</v>
      </c>
      <c r="M99" s="30">
        <v>3979.69</v>
      </c>
      <c r="O99" s="29" t="s">
        <v>104</v>
      </c>
      <c r="P99" s="33">
        <v>0.27729999999999999</v>
      </c>
    </row>
    <row r="100" spans="10:16" ht="62.5" thickBot="1" x14ac:dyDescent="0.45">
      <c r="J100" s="29" t="s">
        <v>53</v>
      </c>
      <c r="K100" s="30">
        <v>1002.85</v>
      </c>
      <c r="L100" s="30">
        <v>1.022</v>
      </c>
      <c r="M100" s="30">
        <v>1024.9100000000001</v>
      </c>
      <c r="O100" s="29" t="s">
        <v>105</v>
      </c>
      <c r="P100" s="33">
        <v>0.48060000000000003</v>
      </c>
    </row>
    <row r="101" spans="10:16" ht="62.5" thickBot="1" x14ac:dyDescent="0.45">
      <c r="J101" s="29" t="s">
        <v>54</v>
      </c>
      <c r="K101" s="30">
        <v>643.94000000000005</v>
      </c>
      <c r="L101" s="30">
        <v>0.90759999999999996</v>
      </c>
      <c r="M101" s="30">
        <v>584.46</v>
      </c>
      <c r="O101" s="29" t="s">
        <v>66</v>
      </c>
      <c r="P101" s="33">
        <v>0.57150000000000001</v>
      </c>
    </row>
    <row r="102" spans="10:16" ht="16.5" thickBot="1" x14ac:dyDescent="0.45">
      <c r="O102" s="29" t="s">
        <v>106</v>
      </c>
      <c r="P102" s="33">
        <v>0.57150000000000001</v>
      </c>
    </row>
    <row r="103" spans="10:16" ht="47" thickBot="1" x14ac:dyDescent="0.45">
      <c r="J103" s="29" t="s">
        <v>48</v>
      </c>
      <c r="K103" s="29" t="s">
        <v>49</v>
      </c>
      <c r="L103" s="29" t="s">
        <v>50</v>
      </c>
      <c r="M103" s="29" t="s">
        <v>51</v>
      </c>
      <c r="O103" s="29" t="s">
        <v>107</v>
      </c>
      <c r="P103" s="30" t="s">
        <v>108</v>
      </c>
    </row>
    <row r="104" spans="10:16" ht="47" thickBot="1" x14ac:dyDescent="0.45">
      <c r="J104" s="29" t="s">
        <v>55</v>
      </c>
      <c r="K104" s="30">
        <v>47.99</v>
      </c>
      <c r="L104" s="30">
        <v>3.5383</v>
      </c>
      <c r="M104" s="30">
        <v>169.79</v>
      </c>
      <c r="O104" s="29" t="s">
        <v>109</v>
      </c>
      <c r="P104" s="30" t="s">
        <v>110</v>
      </c>
    </row>
    <row r="105" spans="10:16" ht="47" thickBot="1" x14ac:dyDescent="0.45">
      <c r="J105" s="29" t="s">
        <v>56</v>
      </c>
      <c r="K105" s="30">
        <v>1260.8499999999999</v>
      </c>
      <c r="L105" s="30">
        <v>3.4192</v>
      </c>
      <c r="M105" s="30">
        <v>4311.0600000000004</v>
      </c>
    </row>
    <row r="106" spans="10:16" ht="47" thickBot="1" x14ac:dyDescent="0.45">
      <c r="J106" s="29" t="s">
        <v>57</v>
      </c>
      <c r="K106" s="30">
        <v>11000</v>
      </c>
      <c r="L106" s="30">
        <v>0.95989999999999998</v>
      </c>
      <c r="M106" s="30">
        <v>10558.51</v>
      </c>
    </row>
    <row r="107" spans="10:16" ht="47" thickBot="1" x14ac:dyDescent="0.45">
      <c r="J107" s="29" t="s">
        <v>58</v>
      </c>
      <c r="K107" s="30">
        <v>2.54</v>
      </c>
      <c r="L107" s="30">
        <v>0.19739999999999999</v>
      </c>
      <c r="M107" s="30">
        <v>0.5</v>
      </c>
    </row>
    <row r="108" spans="10:16" ht="47" thickBot="1" x14ac:dyDescent="0.45">
      <c r="J108" s="29" t="s">
        <v>59</v>
      </c>
      <c r="K108" s="30">
        <v>928.59</v>
      </c>
      <c r="L108" s="30">
        <v>0.18010000000000001</v>
      </c>
      <c r="M108" s="30">
        <v>180.51</v>
      </c>
    </row>
    <row r="109" spans="10:16" ht="47" thickBot="1" x14ac:dyDescent="0.45">
      <c r="J109" s="29" t="s">
        <v>60</v>
      </c>
      <c r="K109" s="30">
        <v>51500</v>
      </c>
      <c r="L109" s="30">
        <v>1.6199999999999999E-2</v>
      </c>
      <c r="M109" s="30">
        <v>883.66</v>
      </c>
    </row>
    <row r="110" spans="10:16" ht="16.5" thickBot="1" x14ac:dyDescent="0.45"/>
    <row r="111" spans="10:16" ht="47" thickBot="1" x14ac:dyDescent="0.45">
      <c r="J111" s="29" t="s">
        <v>48</v>
      </c>
      <c r="K111" s="29" t="s">
        <v>49</v>
      </c>
      <c r="L111" s="29" t="s">
        <v>50</v>
      </c>
      <c r="M111" s="29" t="s">
        <v>51</v>
      </c>
    </row>
    <row r="112" spans="10:16" ht="31.5" thickBot="1" x14ac:dyDescent="0.45">
      <c r="J112" s="29" t="s">
        <v>61</v>
      </c>
      <c r="K112" s="30">
        <v>1256.8900000000001</v>
      </c>
      <c r="L112" s="30">
        <v>2.3879999999999999</v>
      </c>
      <c r="M112" s="30">
        <v>3001.51</v>
      </c>
    </row>
    <row r="113" spans="10:13" ht="31.5" thickBot="1" x14ac:dyDescent="0.45">
      <c r="J113" s="29" t="s">
        <v>62</v>
      </c>
      <c r="K113" s="30">
        <v>692.28</v>
      </c>
      <c r="L113" s="30">
        <v>2.3879999999999999</v>
      </c>
      <c r="M113" s="30">
        <v>1653.18</v>
      </c>
    </row>
    <row r="114" spans="10:13" ht="47" thickBot="1" x14ac:dyDescent="0.45">
      <c r="J114" s="29" t="s">
        <v>63</v>
      </c>
      <c r="K114" s="30" t="s">
        <v>64</v>
      </c>
      <c r="L114" s="30" t="s">
        <v>64</v>
      </c>
      <c r="M114" s="30">
        <v>770.62</v>
      </c>
    </row>
    <row r="115" spans="10:13" ht="47" thickBot="1" x14ac:dyDescent="0.45">
      <c r="J115" s="29" t="s">
        <v>65</v>
      </c>
      <c r="K115" s="30" t="s">
        <v>64</v>
      </c>
      <c r="L115" s="30" t="s">
        <v>64</v>
      </c>
      <c r="M115" s="30">
        <v>577.71</v>
      </c>
    </row>
    <row r="116" spans="10:13" ht="62.5" thickBot="1" x14ac:dyDescent="0.45">
      <c r="J116" s="29" t="s">
        <v>66</v>
      </c>
      <c r="K116" s="31">
        <v>0.57150000000000001</v>
      </c>
      <c r="L116" s="30" t="s">
        <v>64</v>
      </c>
      <c r="M116" s="30" t="s">
        <v>64</v>
      </c>
    </row>
    <row r="117" spans="10:13" ht="16.5" thickBot="1" x14ac:dyDescent="0.45"/>
    <row r="118" spans="10:13" ht="47" thickBot="1" x14ac:dyDescent="0.45">
      <c r="J118" s="29" t="s">
        <v>48</v>
      </c>
      <c r="K118" s="29" t="s">
        <v>49</v>
      </c>
      <c r="L118" s="29" t="s">
        <v>50</v>
      </c>
      <c r="M118" s="29" t="s">
        <v>51</v>
      </c>
    </row>
    <row r="119" spans="10:13" ht="78" thickBot="1" x14ac:dyDescent="0.45">
      <c r="J119" s="29" t="s">
        <v>67</v>
      </c>
      <c r="K119" s="30">
        <v>1261.1500000000001</v>
      </c>
      <c r="L119" s="30">
        <v>0.76759999999999995</v>
      </c>
      <c r="M119" s="30">
        <v>968.03</v>
      </c>
    </row>
    <row r="120" spans="10:13" ht="62.5" thickBot="1" x14ac:dyDescent="0.45">
      <c r="J120" s="29" t="s">
        <v>68</v>
      </c>
      <c r="K120" s="30">
        <v>48.87</v>
      </c>
      <c r="L120" s="30">
        <v>7.4300000000000005E-2</v>
      </c>
      <c r="M120" s="30">
        <v>3.63</v>
      </c>
    </row>
    <row r="121" spans="10:13" ht="47" thickBot="1" x14ac:dyDescent="0.45">
      <c r="J121" s="29" t="s">
        <v>69</v>
      </c>
      <c r="K121" s="30">
        <v>919.51</v>
      </c>
      <c r="L121" s="30">
        <v>0.84179999999999999</v>
      </c>
      <c r="M121" s="30">
        <v>774.09</v>
      </c>
    </row>
    <row r="122" spans="10:13" ht="62.5" thickBot="1" x14ac:dyDescent="0.45">
      <c r="J122" s="32" t="s">
        <v>70</v>
      </c>
      <c r="K122" s="30" t="s">
        <v>64</v>
      </c>
      <c r="L122" s="30" t="s">
        <v>64</v>
      </c>
      <c r="M122" s="30">
        <v>197.57</v>
      </c>
    </row>
    <row r="123" spans="10:13" ht="78" thickBot="1" x14ac:dyDescent="0.45">
      <c r="J123" s="32" t="s">
        <v>71</v>
      </c>
      <c r="K123" s="31">
        <v>0.24660000000000001</v>
      </c>
      <c r="L123" s="30" t="s">
        <v>64</v>
      </c>
      <c r="M123" s="30" t="s">
        <v>64</v>
      </c>
    </row>
    <row r="124" spans="10:13" ht="62.5" thickBot="1" x14ac:dyDescent="0.45">
      <c r="J124" s="29" t="s">
        <v>72</v>
      </c>
      <c r="K124" s="30">
        <v>1002.85</v>
      </c>
      <c r="L124" s="30">
        <v>0.65449999999999997</v>
      </c>
      <c r="M124" s="30">
        <v>656.4</v>
      </c>
    </row>
    <row r="125" spans="10:13" ht="78" thickBot="1" x14ac:dyDescent="0.45">
      <c r="J125" s="29" t="s">
        <v>73</v>
      </c>
      <c r="K125" s="30">
        <v>48.87</v>
      </c>
      <c r="L125" s="30">
        <v>0.1469</v>
      </c>
      <c r="M125" s="30">
        <v>7.18</v>
      </c>
    </row>
    <row r="126" spans="10:13" ht="62.5" thickBot="1" x14ac:dyDescent="0.45">
      <c r="J126" s="29" t="s">
        <v>74</v>
      </c>
      <c r="K126" s="30">
        <v>786.71</v>
      </c>
      <c r="L126" s="30">
        <v>0.8014</v>
      </c>
      <c r="M126" s="30">
        <v>630.46</v>
      </c>
    </row>
    <row r="127" spans="10:13" ht="93.5" thickBot="1" x14ac:dyDescent="0.45">
      <c r="J127" s="32" t="s">
        <v>75</v>
      </c>
      <c r="K127" s="31">
        <v>0.76590000000000003</v>
      </c>
      <c r="L127" s="30" t="s">
        <v>64</v>
      </c>
      <c r="M127" s="30" t="s">
        <v>64</v>
      </c>
    </row>
    <row r="129" spans="10:13" ht="16.5" thickBot="1" x14ac:dyDescent="0.45"/>
    <row r="130" spans="10:13" ht="47" thickBot="1" x14ac:dyDescent="0.45">
      <c r="J130" s="29" t="s">
        <v>48</v>
      </c>
      <c r="K130" s="29" t="s">
        <v>49</v>
      </c>
      <c r="L130" s="29" t="s">
        <v>50</v>
      </c>
      <c r="M130" s="29" t="s">
        <v>51</v>
      </c>
    </row>
    <row r="131" spans="10:13" ht="47" thickBot="1" x14ac:dyDescent="0.45">
      <c r="J131" s="29" t="s">
        <v>76</v>
      </c>
      <c r="K131" s="30">
        <v>10.32</v>
      </c>
      <c r="L131" s="30">
        <v>3.2372000000000001</v>
      </c>
      <c r="M131" s="30">
        <v>45</v>
      </c>
    </row>
    <row r="132" spans="10:13" ht="31.5" thickBot="1" x14ac:dyDescent="0.45">
      <c r="J132" s="29" t="s">
        <v>77</v>
      </c>
      <c r="K132" s="30">
        <v>643.94000000000005</v>
      </c>
      <c r="L132" s="30">
        <v>0.32219999999999999</v>
      </c>
      <c r="M132" s="30">
        <v>207.5</v>
      </c>
    </row>
    <row r="133" spans="10:13" ht="47" thickBot="1" x14ac:dyDescent="0.45">
      <c r="J133" s="29" t="s">
        <v>78</v>
      </c>
      <c r="K133" s="30">
        <v>10.19</v>
      </c>
      <c r="L133" s="30">
        <v>9.6500000000000002E-2</v>
      </c>
      <c r="M133" s="30">
        <v>0.98</v>
      </c>
    </row>
    <row r="134" spans="10:13" ht="47" thickBot="1" x14ac:dyDescent="0.45">
      <c r="J134" s="29" t="s">
        <v>79</v>
      </c>
      <c r="K134" s="30">
        <v>10.32</v>
      </c>
      <c r="L134" s="30">
        <v>3.1406999999999998</v>
      </c>
      <c r="M134" s="30">
        <v>32.409999999999997</v>
      </c>
    </row>
    <row r="135" spans="10:13" ht="47" thickBot="1" x14ac:dyDescent="0.45">
      <c r="J135" s="29" t="s">
        <v>80</v>
      </c>
      <c r="K135" s="30" t="s">
        <v>64</v>
      </c>
      <c r="L135" s="30">
        <v>3.8098999999999998</v>
      </c>
      <c r="M135" s="30">
        <v>45</v>
      </c>
    </row>
    <row r="136" spans="10:13" ht="62.5" thickBot="1" x14ac:dyDescent="0.45">
      <c r="J136" s="32" t="s">
        <v>66</v>
      </c>
      <c r="K136" s="31">
        <v>81.489599999999996</v>
      </c>
      <c r="L136" s="30" t="s">
        <v>64</v>
      </c>
      <c r="M136" s="30" t="s">
        <v>64</v>
      </c>
    </row>
    <row r="137" spans="10:13" ht="16.5" thickBot="1" x14ac:dyDescent="0.45"/>
    <row r="138" spans="10:13" ht="47" thickBot="1" x14ac:dyDescent="0.45">
      <c r="J138" s="29" t="s">
        <v>81</v>
      </c>
      <c r="K138" s="29" t="s">
        <v>49</v>
      </c>
      <c r="L138" s="29" t="s">
        <v>50</v>
      </c>
      <c r="M138" s="29" t="s">
        <v>51</v>
      </c>
    </row>
    <row r="139" spans="10:13" ht="47" thickBot="1" x14ac:dyDescent="0.45">
      <c r="J139" s="29" t="s">
        <v>82</v>
      </c>
      <c r="K139" s="30">
        <v>1002.85</v>
      </c>
      <c r="L139" s="30">
        <v>0.23710000000000001</v>
      </c>
      <c r="M139" s="30">
        <v>237.75</v>
      </c>
    </row>
    <row r="140" spans="10:13" ht="47" thickBot="1" x14ac:dyDescent="0.45">
      <c r="J140" s="29" t="s">
        <v>83</v>
      </c>
      <c r="K140" s="30">
        <v>1002.85</v>
      </c>
      <c r="L140" s="30">
        <v>0.13039999999999999</v>
      </c>
      <c r="M140" s="30">
        <v>130.76</v>
      </c>
    </row>
    <row r="141" spans="10:13" ht="62.5" thickBot="1" x14ac:dyDescent="0.45">
      <c r="J141" s="29" t="s">
        <v>84</v>
      </c>
      <c r="K141" s="30">
        <v>1002.85</v>
      </c>
      <c r="L141" s="30">
        <v>0</v>
      </c>
      <c r="M141" s="30">
        <v>0</v>
      </c>
    </row>
    <row r="142" spans="10:13" ht="47" thickBot="1" x14ac:dyDescent="0.45">
      <c r="J142" s="29" t="s">
        <v>85</v>
      </c>
      <c r="K142" s="30" t="s">
        <v>64</v>
      </c>
      <c r="L142" s="29">
        <v>0.36749999999999999</v>
      </c>
      <c r="M142" s="29">
        <v>368.51</v>
      </c>
    </row>
    <row r="143" spans="10:13" ht="16.5" thickBot="1" x14ac:dyDescent="0.45">
      <c r="J143" s="30"/>
      <c r="K143" s="30"/>
      <c r="L143" s="30"/>
      <c r="M143" s="30"/>
    </row>
    <row r="144" spans="10:13" ht="78" thickBot="1" x14ac:dyDescent="0.45">
      <c r="J144" s="29" t="s">
        <v>86</v>
      </c>
      <c r="K144" s="30">
        <v>643.94000000000005</v>
      </c>
      <c r="L144" s="30">
        <v>0</v>
      </c>
      <c r="M144" s="30">
        <v>0</v>
      </c>
    </row>
    <row r="145" spans="10:13" ht="47" thickBot="1" x14ac:dyDescent="0.45">
      <c r="J145" s="29" t="s">
        <v>87</v>
      </c>
      <c r="K145" s="30">
        <v>643.94000000000005</v>
      </c>
      <c r="L145" s="30">
        <v>1.5224</v>
      </c>
      <c r="M145" s="30">
        <v>980.35</v>
      </c>
    </row>
    <row r="146" spans="10:13" ht="47" thickBot="1" x14ac:dyDescent="0.45">
      <c r="J146" s="29" t="s">
        <v>88</v>
      </c>
      <c r="K146" s="30">
        <v>643.94000000000005</v>
      </c>
      <c r="L146" s="30">
        <v>8.9999999999999998E-4</v>
      </c>
      <c r="M146" s="30">
        <v>0.57999999999999996</v>
      </c>
    </row>
    <row r="147" spans="10:13" ht="47" thickBot="1" x14ac:dyDescent="0.45">
      <c r="J147" s="29" t="s">
        <v>89</v>
      </c>
      <c r="K147" s="30">
        <v>643.94000000000005</v>
      </c>
      <c r="L147" s="30">
        <v>2.0000000000000001E-4</v>
      </c>
      <c r="M147" s="30">
        <v>0.15</v>
      </c>
    </row>
    <row r="148" spans="10:13" ht="47" thickBot="1" x14ac:dyDescent="0.45">
      <c r="J148" s="29" t="s">
        <v>90</v>
      </c>
      <c r="K148" s="30">
        <v>643.94000000000005</v>
      </c>
      <c r="L148" s="30">
        <v>1.4E-3</v>
      </c>
      <c r="M148" s="30">
        <v>0.89</v>
      </c>
    </row>
    <row r="149" spans="10:13" ht="47" thickBot="1" x14ac:dyDescent="0.45">
      <c r="J149" s="29" t="s">
        <v>91</v>
      </c>
      <c r="K149" s="30">
        <v>643.94000000000005</v>
      </c>
      <c r="L149" s="30">
        <v>0.2213</v>
      </c>
      <c r="M149" s="30">
        <v>142.52000000000001</v>
      </c>
    </row>
    <row r="150" spans="10:13" ht="47" thickBot="1" x14ac:dyDescent="0.45">
      <c r="J150" s="29" t="s">
        <v>92</v>
      </c>
      <c r="K150" s="30">
        <v>643.94000000000005</v>
      </c>
      <c r="L150" s="30">
        <v>5.0000000000000001E-4</v>
      </c>
      <c r="M150" s="30">
        <v>0.31</v>
      </c>
    </row>
    <row r="151" spans="10:13" ht="47" thickBot="1" x14ac:dyDescent="0.45">
      <c r="J151" s="29" t="s">
        <v>93</v>
      </c>
      <c r="K151" s="30">
        <v>643.94000000000005</v>
      </c>
      <c r="L151" s="30">
        <v>1E-3</v>
      </c>
      <c r="M151" s="30">
        <v>0.62</v>
      </c>
    </row>
    <row r="152" spans="10:13" ht="47" thickBot="1" x14ac:dyDescent="0.45">
      <c r="J152" s="29" t="s">
        <v>94</v>
      </c>
      <c r="K152" s="30">
        <v>643.94000000000005</v>
      </c>
      <c r="L152" s="30">
        <v>3.5999999999999999E-3</v>
      </c>
      <c r="M152" s="30">
        <v>2.35</v>
      </c>
    </row>
    <row r="153" spans="10:13" ht="47" thickBot="1" x14ac:dyDescent="0.45">
      <c r="J153" s="29" t="s">
        <v>95</v>
      </c>
      <c r="K153" s="30">
        <v>643.94000000000005</v>
      </c>
      <c r="L153" s="30">
        <v>2.9999999999999997E-4</v>
      </c>
      <c r="M153" s="30">
        <v>0.22</v>
      </c>
    </row>
    <row r="154" spans="10:13" ht="47" thickBot="1" x14ac:dyDescent="0.45">
      <c r="J154" s="29" t="s">
        <v>96</v>
      </c>
      <c r="K154" s="30" t="s">
        <v>64</v>
      </c>
      <c r="L154" s="29">
        <v>1.7517</v>
      </c>
      <c r="M154" s="29">
        <v>1127.99</v>
      </c>
    </row>
    <row r="155" spans="10:13" ht="16.5" thickBot="1" x14ac:dyDescent="0.45"/>
    <row r="156" spans="10:13" ht="47" thickBot="1" x14ac:dyDescent="0.45">
      <c r="J156" s="29" t="s">
        <v>48</v>
      </c>
      <c r="K156" s="29" t="s">
        <v>49</v>
      </c>
      <c r="L156" s="29" t="s">
        <v>50</v>
      </c>
      <c r="M156" s="29" t="s">
        <v>51</v>
      </c>
    </row>
    <row r="157" spans="10:13" ht="47" thickBot="1" x14ac:dyDescent="0.45">
      <c r="J157" s="29" t="s">
        <v>97</v>
      </c>
      <c r="K157" s="30">
        <v>643.94000000000005</v>
      </c>
      <c r="L157" s="30">
        <v>0.15840000000000001</v>
      </c>
      <c r="M157" s="30">
        <v>101.97</v>
      </c>
    </row>
    <row r="158" spans="10:13" ht="31.5" thickBot="1" x14ac:dyDescent="0.45">
      <c r="J158" s="29" t="s">
        <v>98</v>
      </c>
      <c r="K158" s="30">
        <v>643.94000000000005</v>
      </c>
      <c r="L158" s="30">
        <v>1.4999999999999999E-2</v>
      </c>
      <c r="M158" s="30">
        <v>9.64</v>
      </c>
    </row>
    <row r="159" spans="10:13" ht="47" thickBot="1" x14ac:dyDescent="0.45">
      <c r="J159" s="29" t="s">
        <v>99</v>
      </c>
      <c r="K159" s="30">
        <v>643.94000000000005</v>
      </c>
      <c r="L159" s="30">
        <v>0.32219999999999999</v>
      </c>
      <c r="M159" s="30">
        <v>207.5</v>
      </c>
    </row>
    <row r="160" spans="10:13" ht="47" thickBot="1" x14ac:dyDescent="0.45">
      <c r="J160" s="29" t="s">
        <v>100</v>
      </c>
      <c r="K160" s="30">
        <v>643.94000000000005</v>
      </c>
      <c r="L160" s="30">
        <v>3.32E-2</v>
      </c>
      <c r="M160" s="30">
        <v>80.569999999999993</v>
      </c>
    </row>
    <row r="161" spans="10:13" ht="47" thickBot="1" x14ac:dyDescent="0.45">
      <c r="J161" s="29" t="s">
        <v>101</v>
      </c>
      <c r="K161" s="30">
        <v>643.94000000000005</v>
      </c>
      <c r="L161" s="30">
        <v>1.2800000000000001E-2</v>
      </c>
      <c r="M161" s="30">
        <v>8.23</v>
      </c>
    </row>
  </sheetData>
  <mergeCells count="22">
    <mergeCell ref="AD62:AF62"/>
    <mergeCell ref="AE63:AI63"/>
    <mergeCell ref="AD72:AI72"/>
    <mergeCell ref="AE81:AI81"/>
    <mergeCell ref="Q81:U81"/>
    <mergeCell ref="P62:R62"/>
    <mergeCell ref="W62:Y62"/>
    <mergeCell ref="X63:AB63"/>
    <mergeCell ref="W72:AB72"/>
    <mergeCell ref="X81:AB81"/>
    <mergeCell ref="E75:I75"/>
    <mergeCell ref="O16:T16"/>
    <mergeCell ref="P7:T7"/>
    <mergeCell ref="W8:AA8"/>
    <mergeCell ref="E30:I30"/>
    <mergeCell ref="D39:I39"/>
    <mergeCell ref="E48:I48"/>
    <mergeCell ref="E57:I57"/>
    <mergeCell ref="D66:I66"/>
    <mergeCell ref="Q63:U63"/>
    <mergeCell ref="P72:U72"/>
    <mergeCell ref="W49:AA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Henroz,Alexandre A.M.A.M.S.D.M.</dc:creator>
  <cp:lastModifiedBy>Henroz,Alexandre A.M.A.M.S.D.M.</cp:lastModifiedBy>
  <dcterms:created xsi:type="dcterms:W3CDTF">2026-06-04T09:08:21Z</dcterms:created>
  <dcterms:modified xsi:type="dcterms:W3CDTF">2026-06-21T13:58:05Z</dcterms:modified>
</cp:coreProperties>
</file>